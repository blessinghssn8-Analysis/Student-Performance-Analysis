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lacqmann\Desktop\"/>
    </mc:Choice>
  </mc:AlternateContent>
  <xr:revisionPtr revIDLastSave="0" documentId="13_ncr:1_{19D299BE-C2BB-4AE7-A8B8-0A8A8D054D90}" xr6:coauthVersionLast="47" xr6:coauthVersionMax="47" xr10:uidLastSave="{00000000-0000-0000-0000-000000000000}"/>
  <bookViews>
    <workbookView xWindow="-110" yWindow="-110" windowWidth="19420" windowHeight="10300" activeTab="1" xr2:uid="{E6A4465C-B44F-4994-B4F9-235AA55B31DD}"/>
  </bookViews>
  <sheets>
    <sheet name="student_performance_analysis" sheetId="1" r:id="rId1"/>
    <sheet name="Dashboard" sheetId="2" r:id="rId2"/>
  </sheets>
  <definedNames>
    <definedName name="_xlchart.v1.0" hidden="1">student_performance_analysis!$W$3:$W$7</definedName>
    <definedName name="_xlchart.v1.1" hidden="1">student_performance_analysis!$X$2</definedName>
    <definedName name="_xlchart.v1.2" hidden="1">student_performance_analysis!$X$3:$X$7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2" l="1"/>
  <c r="Q4" i="2"/>
  <c r="O4" i="2"/>
  <c r="O5" i="2"/>
  <c r="P5" i="2"/>
  <c r="Q5" i="2"/>
  <c r="O6" i="2"/>
  <c r="P6" i="2"/>
  <c r="Q6" i="2"/>
  <c r="O7" i="2"/>
  <c r="P7" i="2"/>
  <c r="Q7" i="2"/>
  <c r="O8" i="2"/>
  <c r="P8" i="2"/>
  <c r="Q8" i="2"/>
  <c r="N6" i="2"/>
  <c r="N7" i="2"/>
  <c r="N8" i="2"/>
  <c r="N5" i="2"/>
  <c r="H13" i="1" l="1"/>
  <c r="J4" i="1"/>
  <c r="J3" i="1"/>
  <c r="H3" i="1"/>
  <c r="H4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N4" i="2"/>
</calcChain>
</file>

<file path=xl/sharedStrings.xml><?xml version="1.0" encoding="utf-8"?>
<sst xmlns="http://schemas.openxmlformats.org/spreadsheetml/2006/main" count="195" uniqueCount="73">
  <si>
    <t>Student ID</t>
  </si>
  <si>
    <t xml:space="preserve">Gender </t>
  </si>
  <si>
    <t xml:space="preserve">Hours Studied </t>
  </si>
  <si>
    <t xml:space="preserve">Attendance </t>
  </si>
  <si>
    <t xml:space="preserve">Assignment completed </t>
  </si>
  <si>
    <t>Hours Studied</t>
  </si>
  <si>
    <t>Distribution</t>
  </si>
  <si>
    <t>Score Range</t>
  </si>
  <si>
    <t>Row Labels</t>
  </si>
  <si>
    <t xml:space="preserve">Max of Hours Studied </t>
  </si>
  <si>
    <t>Female</t>
  </si>
  <si>
    <t>5-6.9</t>
  </si>
  <si>
    <t>50-61</t>
  </si>
  <si>
    <t>Male</t>
  </si>
  <si>
    <t>7.1-9</t>
  </si>
  <si>
    <t>62-71</t>
  </si>
  <si>
    <t>9.1-11</t>
  </si>
  <si>
    <t>72-81</t>
  </si>
  <si>
    <t>Grand Total</t>
  </si>
  <si>
    <t>11.1-13</t>
  </si>
  <si>
    <t>82-91</t>
  </si>
  <si>
    <t>13.1-15</t>
  </si>
  <si>
    <t>92-100</t>
  </si>
  <si>
    <t xml:space="preserve">Max of Attendance </t>
  </si>
  <si>
    <t>15.1-17</t>
  </si>
  <si>
    <t>Attendance</t>
  </si>
  <si>
    <t>Distirbution</t>
  </si>
  <si>
    <t xml:space="preserve">Assignment </t>
  </si>
  <si>
    <t>60-71</t>
  </si>
  <si>
    <t>5 - 7.0</t>
  </si>
  <si>
    <t xml:space="preserve">Min of Attendance </t>
  </si>
  <si>
    <t>Metric</t>
  </si>
  <si>
    <t>Average</t>
  </si>
  <si>
    <t>Attendance (%)</t>
  </si>
  <si>
    <t>Count of Student ID</t>
  </si>
  <si>
    <t xml:space="preserve">Average of Score </t>
  </si>
  <si>
    <t>Assignment</t>
  </si>
  <si>
    <t>Score (%)</t>
  </si>
  <si>
    <t>Performance</t>
  </si>
  <si>
    <t xml:space="preserve">No. of Student </t>
  </si>
  <si>
    <t>High Performer (85-100)</t>
  </si>
  <si>
    <t xml:space="preserve">Average of Hours Studied </t>
  </si>
  <si>
    <t xml:space="preserve">Min of Score </t>
  </si>
  <si>
    <t>Medium Performer (70-84)</t>
  </si>
  <si>
    <t>Low Performer (50-69)</t>
  </si>
  <si>
    <t xml:space="preserve">Average of Attendance </t>
  </si>
  <si>
    <t xml:space="preserve">Max of Score </t>
  </si>
  <si>
    <t xml:space="preserve">Average of Assignment completed </t>
  </si>
  <si>
    <t xml:space="preserve">Min of Hours Studied </t>
  </si>
  <si>
    <t>Mean</t>
  </si>
  <si>
    <t>Median</t>
  </si>
  <si>
    <t>Mode</t>
  </si>
  <si>
    <t>Variance</t>
  </si>
  <si>
    <t>Standard Dev</t>
  </si>
  <si>
    <t>7.0-9</t>
  </si>
  <si>
    <t xml:space="preserve"> </t>
  </si>
  <si>
    <t>Score</t>
  </si>
  <si>
    <t>Standard Error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</si>
  <si>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</si>
  <si>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</si>
  <si>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</si>
  <si>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</si>
  <si>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</si>
  <si>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</si>
  <si>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</si>
  <si>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</si>
  <si>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</si>
  <si>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</si>
  <si>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</si>
  <si>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Actual Score </t>
  </si>
  <si>
    <t>Predicted Score</t>
  </si>
  <si>
    <t xml:space="preserve">Average of Actual Score 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</si>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</sst>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color theme="1"/>
      <name val="Creato Display"/>
      <family val="2"/>
    </font>
    <font>
      <sz val="10"/>
      <color theme="1"/>
      <name val="Creato Display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reato Display"/>
      <family val="2"/>
    </font>
    <font>
      <b/>
      <sz val="13"/>
      <color theme="3"/>
      <name val="Creato Display"/>
      <family val="2"/>
    </font>
    <font>
      <b/>
      <sz val="11"/>
      <color theme="3"/>
      <name val="Creato Display"/>
      <family val="2"/>
    </font>
    <font>
      <sz val="10"/>
      <color rgb="FF006100"/>
      <name val="Creato Display"/>
      <family val="2"/>
    </font>
    <font>
      <sz val="10"/>
      <color rgb="FF9C0006"/>
      <name val="Creato Display"/>
      <family val="2"/>
    </font>
    <font>
      <sz val="10"/>
      <color rgb="FF9C5700"/>
      <name val="Creato Display"/>
      <family val="2"/>
    </font>
    <font>
      <sz val="10"/>
      <color rgb="FF3F3F76"/>
      <name val="Creato Display"/>
      <family val="2"/>
    </font>
    <font>
      <b/>
      <sz val="10"/>
      <color rgb="FF3F3F3F"/>
      <name val="Creato Display"/>
      <family val="2"/>
    </font>
    <font>
      <b/>
      <sz val="10"/>
      <color rgb="FFFA7D00"/>
      <name val="Creato Display"/>
      <family val="2"/>
    </font>
    <font>
      <sz val="10"/>
      <color rgb="FFFA7D00"/>
      <name val="Creato Display"/>
      <family val="2"/>
    </font>
    <font>
      <b/>
      <sz val="10"/>
      <color theme="0"/>
      <name val="Creato Display"/>
      <family val="2"/>
    </font>
    <font>
      <sz val="10"/>
      <color rgb="FFFF0000"/>
      <name val="Creato Display"/>
      <family val="2"/>
    </font>
    <font>
      <i/>
      <sz val="10"/>
      <color rgb="FF7F7F7F"/>
      <name val="Creato Display"/>
      <family val="2"/>
    </font>
    <font>
      <b/>
      <sz val="10"/>
      <color theme="1"/>
      <name val="Creato Display"/>
      <family val="2"/>
    </font>
    <font>
      <sz val="10"/>
      <color theme="0"/>
      <name val="Creato Display"/>
      <family val="2"/>
    </font>
    <font>
      <i/>
      <sz val="10"/>
      <color theme="1"/>
      <name val="Creato Display"/>
      <family val="2"/>
    </font>
    <font>
      <b/>
      <sz val="8"/>
      <color theme="1"/>
      <name val="Creato Display"/>
      <family val="2"/>
    </font>
    <font>
      <sz val="8"/>
      <color theme="1"/>
      <name val="Creato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 applyAlignment="1"/>
    <xf numFmtId="0" fontId="0" fillId="0" borderId="17" xfId="0" applyFill="1" applyBorder="1" applyAlignment="1"/>
    <xf numFmtId="0" fontId="18" fillId="0" borderId="18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1" fontId="0" fillId="0" borderId="0" xfId="0" applyNumberFormat="1"/>
    <xf numFmtId="1" fontId="0" fillId="0" borderId="12" xfId="0" applyNumberFormat="1" applyBorder="1"/>
    <xf numFmtId="1" fontId="0" fillId="0" borderId="14" xfId="0" applyNumberFormat="1" applyBorder="1"/>
    <xf numFmtId="1" fontId="0" fillId="0" borderId="16" xfId="0" applyNumberFormat="1" applyBorder="1"/>
    <xf numFmtId="0" fontId="16" fillId="0" borderId="11" xfId="0" applyFont="1" applyBorder="1"/>
    <xf numFmtId="0" fontId="16" fillId="0" borderId="19" xfId="0" applyFont="1" applyBorder="1"/>
    <xf numFmtId="0" fontId="16" fillId="0" borderId="12" xfId="0" applyFont="1" applyBorder="1"/>
    <xf numFmtId="0" fontId="0" fillId="0" borderId="0" xfId="0" applyBorder="1"/>
    <xf numFmtId="164" fontId="0" fillId="0" borderId="0" xfId="0" applyNumberFormat="1" applyFill="1" applyBorder="1" applyAlignment="1"/>
    <xf numFmtId="164" fontId="0" fillId="0" borderId="17" xfId="0" applyNumberFormat="1" applyFill="1" applyBorder="1" applyAlignment="1"/>
    <xf numFmtId="0" fontId="19" fillId="0" borderId="21" xfId="0" applyFont="1" applyBorder="1"/>
    <xf numFmtId="0" fontId="19" fillId="0" borderId="22" xfId="0" applyFont="1" applyBorder="1"/>
    <xf numFmtId="0" fontId="19" fillId="0" borderId="23" xfId="0" applyFont="1" applyBorder="1"/>
    <xf numFmtId="0" fontId="19" fillId="0" borderId="11" xfId="0" applyFont="1" applyBorder="1"/>
    <xf numFmtId="0" fontId="20" fillId="0" borderId="13" xfId="0" applyFont="1" applyBorder="1"/>
    <xf numFmtId="164" fontId="20" fillId="0" borderId="13" xfId="0" applyNumberFormat="1" applyFont="1" applyBorder="1"/>
    <xf numFmtId="0" fontId="0" fillId="0" borderId="13" xfId="0" applyBorder="1" applyAlignment="1">
      <alignment vertical="top"/>
    </xf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16" fillId="0" borderId="12" xfId="0" applyFont="1" applyFill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" fontId="0" fillId="0" borderId="24" xfId="0" applyNumberFormat="1" applyBorder="1"/>
    <xf numFmtId="0" fontId="0" fillId="0" borderId="10" xfId="0" applyFill="1" applyBorder="1" applyAlignment="1"/>
    <xf numFmtId="0" fontId="18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Continuous"/>
    </xf>
    <xf numFmtId="0" fontId="0" fillId="0" borderId="13" xfId="0" applyFill="1" applyBorder="1" applyAlignment="1"/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20" xfId="0" applyFill="1" applyBorder="1" applyAlignment="1"/>
    <xf numFmtId="0" fontId="0" fillId="0" borderId="16" xfId="0" applyFill="1" applyBorder="1" applyAlignment="1"/>
    <xf numFmtId="1" fontId="0" fillId="0" borderId="0" xfId="0" applyNumberFormat="1" applyFill="1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16" fillId="33" borderId="15" xfId="0" applyFont="1" applyFill="1" applyBorder="1" applyAlignment="1">
      <alignment horizontal="left"/>
    </xf>
    <xf numFmtId="0" fontId="16" fillId="33" borderId="16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08000"/>
      <color rgb="FFA50021"/>
      <color rgb="FFF985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student_performance_analysis!$K$15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student_performance_analysis!$J$16:$J$19</c:f>
              <c:strCache>
                <c:ptCount val="4"/>
                <c:pt idx="0">
                  <c:v>Hours Studied</c:v>
                </c:pt>
                <c:pt idx="1">
                  <c:v>Attendance (%)</c:v>
                </c:pt>
                <c:pt idx="2">
                  <c:v>Assignment</c:v>
                </c:pt>
                <c:pt idx="3">
                  <c:v>Score (%)</c:v>
                </c:pt>
              </c:strCache>
            </c:strRef>
          </c:cat>
          <c:val>
            <c:numRef>
              <c:f>student_performance_analysis!$K$16:$K$19</c:f>
              <c:numCache>
                <c:formatCode>General</c:formatCode>
                <c:ptCount val="4"/>
                <c:pt idx="0">
                  <c:v>10.9</c:v>
                </c:pt>
                <c:pt idx="1">
                  <c:v>76.7</c:v>
                </c:pt>
                <c:pt idx="2">
                  <c:v>9.5</c:v>
                </c:pt>
                <c:pt idx="3">
                  <c:v>72.099999999999994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1-4293-9651-E4DAFA642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27"/>
        <c:axId val="1733720559"/>
        <c:axId val="1733718639"/>
      </c:barChart>
      <c:catAx>
        <c:axId val="173372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33718639"/>
        <c:crosses val="autoZero"/>
        <c:auto val="1"/>
        <c:lblAlgn val="ctr"/>
        <c:lblOffset val="100"/>
        <c:noMultiLvlLbl val="0"/>
      </c:catAx>
      <c:valAx>
        <c:axId val="173371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3372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student_performance_analysis!$G$2</c:f>
              <c:strCache>
                <c:ptCount val="1"/>
                <c:pt idx="0">
                  <c:v>Actual Score 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>
                <a:outerShdw blurRad="50800" dist="50800" dir="5400000" algn="ctr" rotWithShape="0">
                  <a:srgbClr val="FF0000"/>
                </a:outerShdw>
              </a:effectLst>
            </c:spPr>
            <c:trendlineType val="linear"/>
            <c:intercept val="0"/>
            <c:dispRSqr val="0"/>
            <c:dispEq val="0"/>
          </c:trendline>
          <c:xVal>
            <c:numRef>
              <c:f>student_performance_analysis!$D$3:$D$52</c:f>
              <c:numCache>
                <c:formatCode>General</c:formatCode>
                <c:ptCount val="50"/>
                <c:pt idx="0">
                  <c:v>6.3</c:v>
                </c:pt>
                <c:pt idx="1">
                  <c:v>7.6</c:v>
                </c:pt>
                <c:pt idx="2">
                  <c:v>8.9</c:v>
                </c:pt>
                <c:pt idx="3">
                  <c:v>10.199999999999999</c:v>
                </c:pt>
                <c:pt idx="4">
                  <c:v>11.5</c:v>
                </c:pt>
                <c:pt idx="5">
                  <c:v>12.8</c:v>
                </c:pt>
                <c:pt idx="6">
                  <c:v>14.1</c:v>
                </c:pt>
                <c:pt idx="7">
                  <c:v>15.4</c:v>
                </c:pt>
                <c:pt idx="8">
                  <c:v>16.7</c:v>
                </c:pt>
                <c:pt idx="9">
                  <c:v>5</c:v>
                </c:pt>
                <c:pt idx="10">
                  <c:v>6.3</c:v>
                </c:pt>
                <c:pt idx="11">
                  <c:v>7.6</c:v>
                </c:pt>
                <c:pt idx="12">
                  <c:v>8.9</c:v>
                </c:pt>
                <c:pt idx="13">
                  <c:v>10.199999999999999</c:v>
                </c:pt>
                <c:pt idx="14">
                  <c:v>11.5</c:v>
                </c:pt>
                <c:pt idx="15">
                  <c:v>12.8</c:v>
                </c:pt>
                <c:pt idx="16">
                  <c:v>14.1</c:v>
                </c:pt>
                <c:pt idx="17">
                  <c:v>15.4</c:v>
                </c:pt>
                <c:pt idx="18">
                  <c:v>16.7</c:v>
                </c:pt>
                <c:pt idx="19">
                  <c:v>5</c:v>
                </c:pt>
                <c:pt idx="20">
                  <c:v>6.3</c:v>
                </c:pt>
                <c:pt idx="21">
                  <c:v>7.6</c:v>
                </c:pt>
                <c:pt idx="22">
                  <c:v>8.9</c:v>
                </c:pt>
                <c:pt idx="23">
                  <c:v>10.199999999999999</c:v>
                </c:pt>
                <c:pt idx="24">
                  <c:v>11.5</c:v>
                </c:pt>
                <c:pt idx="25">
                  <c:v>12.8</c:v>
                </c:pt>
                <c:pt idx="26">
                  <c:v>14.1</c:v>
                </c:pt>
                <c:pt idx="27">
                  <c:v>15.4</c:v>
                </c:pt>
                <c:pt idx="28">
                  <c:v>16.7</c:v>
                </c:pt>
                <c:pt idx="29">
                  <c:v>5</c:v>
                </c:pt>
                <c:pt idx="30">
                  <c:v>6.3</c:v>
                </c:pt>
                <c:pt idx="31">
                  <c:v>7.6</c:v>
                </c:pt>
                <c:pt idx="32">
                  <c:v>8.9</c:v>
                </c:pt>
                <c:pt idx="33">
                  <c:v>10.199999999999999</c:v>
                </c:pt>
                <c:pt idx="34">
                  <c:v>11.5</c:v>
                </c:pt>
                <c:pt idx="35">
                  <c:v>12.8</c:v>
                </c:pt>
                <c:pt idx="36">
                  <c:v>14.1</c:v>
                </c:pt>
                <c:pt idx="37">
                  <c:v>15.4</c:v>
                </c:pt>
                <c:pt idx="38">
                  <c:v>16.7</c:v>
                </c:pt>
                <c:pt idx="39">
                  <c:v>5</c:v>
                </c:pt>
                <c:pt idx="40">
                  <c:v>6.3</c:v>
                </c:pt>
                <c:pt idx="41">
                  <c:v>7.6</c:v>
                </c:pt>
                <c:pt idx="42">
                  <c:v>8.9</c:v>
                </c:pt>
                <c:pt idx="43">
                  <c:v>10.199999999999999</c:v>
                </c:pt>
                <c:pt idx="44">
                  <c:v>11.5</c:v>
                </c:pt>
                <c:pt idx="45">
                  <c:v>12.8</c:v>
                </c:pt>
                <c:pt idx="46">
                  <c:v>14.1</c:v>
                </c:pt>
                <c:pt idx="47">
                  <c:v>15.4</c:v>
                </c:pt>
                <c:pt idx="48">
                  <c:v>16.7</c:v>
                </c:pt>
                <c:pt idx="49">
                  <c:v>5</c:v>
                </c:pt>
              </c:numCache>
            </c:numRef>
          </c:xVal>
          <c:yVal>
            <c:numRef>
              <c:f>student_performance_analysis!$G$3:$G$52</c:f>
              <c:numCache>
                <c:formatCode>General</c:formatCode>
                <c:ptCount val="50"/>
                <c:pt idx="0">
                  <c:v>50.9</c:v>
                </c:pt>
                <c:pt idx="1">
                  <c:v>51.8</c:v>
                </c:pt>
                <c:pt idx="2">
                  <c:v>52.7</c:v>
                </c:pt>
                <c:pt idx="3">
                  <c:v>53.6</c:v>
                </c:pt>
                <c:pt idx="4">
                  <c:v>54.5</c:v>
                </c:pt>
                <c:pt idx="5">
                  <c:v>55.4</c:v>
                </c:pt>
                <c:pt idx="6">
                  <c:v>56.3</c:v>
                </c:pt>
                <c:pt idx="7">
                  <c:v>57.2</c:v>
                </c:pt>
                <c:pt idx="8">
                  <c:v>58.1</c:v>
                </c:pt>
                <c:pt idx="9">
                  <c:v>59</c:v>
                </c:pt>
                <c:pt idx="10">
                  <c:v>59.9</c:v>
                </c:pt>
                <c:pt idx="11">
                  <c:v>60.8</c:v>
                </c:pt>
                <c:pt idx="12">
                  <c:v>61.7</c:v>
                </c:pt>
                <c:pt idx="13">
                  <c:v>62.6</c:v>
                </c:pt>
                <c:pt idx="14">
                  <c:v>63.5</c:v>
                </c:pt>
                <c:pt idx="15">
                  <c:v>64.400000000000006</c:v>
                </c:pt>
                <c:pt idx="16">
                  <c:v>65.3</c:v>
                </c:pt>
                <c:pt idx="17">
                  <c:v>66.2</c:v>
                </c:pt>
                <c:pt idx="18">
                  <c:v>67.099999999999994</c:v>
                </c:pt>
                <c:pt idx="19">
                  <c:v>68</c:v>
                </c:pt>
                <c:pt idx="20">
                  <c:v>68.900000000000006</c:v>
                </c:pt>
                <c:pt idx="21">
                  <c:v>69.8</c:v>
                </c:pt>
                <c:pt idx="22">
                  <c:v>70.7</c:v>
                </c:pt>
                <c:pt idx="23">
                  <c:v>71.599999999999994</c:v>
                </c:pt>
                <c:pt idx="24">
                  <c:v>72.5</c:v>
                </c:pt>
                <c:pt idx="25">
                  <c:v>73.400000000000006</c:v>
                </c:pt>
                <c:pt idx="26">
                  <c:v>74.3</c:v>
                </c:pt>
                <c:pt idx="27">
                  <c:v>75.2</c:v>
                </c:pt>
                <c:pt idx="28">
                  <c:v>76.099999999999994</c:v>
                </c:pt>
                <c:pt idx="29">
                  <c:v>77</c:v>
                </c:pt>
                <c:pt idx="30">
                  <c:v>77.900000000000006</c:v>
                </c:pt>
                <c:pt idx="31">
                  <c:v>78.8</c:v>
                </c:pt>
                <c:pt idx="32">
                  <c:v>79.7</c:v>
                </c:pt>
                <c:pt idx="33">
                  <c:v>80.599999999999994</c:v>
                </c:pt>
                <c:pt idx="34">
                  <c:v>81.5</c:v>
                </c:pt>
                <c:pt idx="35">
                  <c:v>82.4</c:v>
                </c:pt>
                <c:pt idx="36">
                  <c:v>83.3</c:v>
                </c:pt>
                <c:pt idx="37">
                  <c:v>84.2</c:v>
                </c:pt>
                <c:pt idx="38">
                  <c:v>85.1</c:v>
                </c:pt>
                <c:pt idx="39">
                  <c:v>86</c:v>
                </c:pt>
                <c:pt idx="40">
                  <c:v>86.9</c:v>
                </c:pt>
                <c:pt idx="41">
                  <c:v>87.8</c:v>
                </c:pt>
                <c:pt idx="42">
                  <c:v>88.7</c:v>
                </c:pt>
                <c:pt idx="43">
                  <c:v>89.6</c:v>
                </c:pt>
                <c:pt idx="44">
                  <c:v>90.5</c:v>
                </c:pt>
                <c:pt idx="45">
                  <c:v>91.4</c:v>
                </c:pt>
                <c:pt idx="46">
                  <c:v>92.3</c:v>
                </c:pt>
                <c:pt idx="47">
                  <c:v>93.2</c:v>
                </c:pt>
                <c:pt idx="48">
                  <c:v>94.1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5-4D76-81CB-AE0E86C5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021967"/>
        <c:axId val="1916020527"/>
      </c:scatterChart>
      <c:valAx>
        <c:axId val="1916021967"/>
        <c:scaling>
          <c:orientation val="minMax"/>
          <c:min val="4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916020527"/>
        <c:crosses val="autoZero"/>
        <c:crossBetween val="midCat"/>
      </c:valAx>
      <c:valAx>
        <c:axId val="1916020527"/>
        <c:scaling>
          <c:orientation val="minMax"/>
          <c:min val="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91602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student_performance_analysis!$G$2</c:f>
              <c:strCache>
                <c:ptCount val="1"/>
                <c:pt idx="0">
                  <c:v>Actual Score 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student_performance_analysis!$E$3:$E$52</c:f>
              <c:numCache>
                <c:formatCode>General</c:formatCode>
                <c:ptCount val="50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</c:numCache>
            </c:numRef>
          </c:xVal>
          <c:yVal>
            <c:numRef>
              <c:f>student_performance_analysis!$G$3:$G$52</c:f>
              <c:numCache>
                <c:formatCode>General</c:formatCode>
                <c:ptCount val="50"/>
                <c:pt idx="0">
                  <c:v>50.9</c:v>
                </c:pt>
                <c:pt idx="1">
                  <c:v>51.8</c:v>
                </c:pt>
                <c:pt idx="2">
                  <c:v>52.7</c:v>
                </c:pt>
                <c:pt idx="3">
                  <c:v>53.6</c:v>
                </c:pt>
                <c:pt idx="4">
                  <c:v>54.5</c:v>
                </c:pt>
                <c:pt idx="5">
                  <c:v>55.4</c:v>
                </c:pt>
                <c:pt idx="6">
                  <c:v>56.3</c:v>
                </c:pt>
                <c:pt idx="7">
                  <c:v>57.2</c:v>
                </c:pt>
                <c:pt idx="8">
                  <c:v>58.1</c:v>
                </c:pt>
                <c:pt idx="9">
                  <c:v>59</c:v>
                </c:pt>
                <c:pt idx="10">
                  <c:v>59.9</c:v>
                </c:pt>
                <c:pt idx="11">
                  <c:v>60.8</c:v>
                </c:pt>
                <c:pt idx="12">
                  <c:v>61.7</c:v>
                </c:pt>
                <c:pt idx="13">
                  <c:v>62.6</c:v>
                </c:pt>
                <c:pt idx="14">
                  <c:v>63.5</c:v>
                </c:pt>
                <c:pt idx="15">
                  <c:v>64.400000000000006</c:v>
                </c:pt>
                <c:pt idx="16">
                  <c:v>65.3</c:v>
                </c:pt>
                <c:pt idx="17">
                  <c:v>66.2</c:v>
                </c:pt>
                <c:pt idx="18">
                  <c:v>67.099999999999994</c:v>
                </c:pt>
                <c:pt idx="19">
                  <c:v>68</c:v>
                </c:pt>
                <c:pt idx="20">
                  <c:v>68.900000000000006</c:v>
                </c:pt>
                <c:pt idx="21">
                  <c:v>69.8</c:v>
                </c:pt>
                <c:pt idx="22">
                  <c:v>70.7</c:v>
                </c:pt>
                <c:pt idx="23">
                  <c:v>71.599999999999994</c:v>
                </c:pt>
                <c:pt idx="24">
                  <c:v>72.5</c:v>
                </c:pt>
                <c:pt idx="25">
                  <c:v>73.400000000000006</c:v>
                </c:pt>
                <c:pt idx="26">
                  <c:v>74.3</c:v>
                </c:pt>
                <c:pt idx="27">
                  <c:v>75.2</c:v>
                </c:pt>
                <c:pt idx="28">
                  <c:v>76.099999999999994</c:v>
                </c:pt>
                <c:pt idx="29">
                  <c:v>77</c:v>
                </c:pt>
                <c:pt idx="30">
                  <c:v>77.900000000000006</c:v>
                </c:pt>
                <c:pt idx="31">
                  <c:v>78.8</c:v>
                </c:pt>
                <c:pt idx="32">
                  <c:v>79.7</c:v>
                </c:pt>
                <c:pt idx="33">
                  <c:v>80.599999999999994</c:v>
                </c:pt>
                <c:pt idx="34">
                  <c:v>81.5</c:v>
                </c:pt>
                <c:pt idx="35">
                  <c:v>82.4</c:v>
                </c:pt>
                <c:pt idx="36">
                  <c:v>83.3</c:v>
                </c:pt>
                <c:pt idx="37">
                  <c:v>84.2</c:v>
                </c:pt>
                <c:pt idx="38">
                  <c:v>85.1</c:v>
                </c:pt>
                <c:pt idx="39">
                  <c:v>86</c:v>
                </c:pt>
                <c:pt idx="40">
                  <c:v>86.9</c:v>
                </c:pt>
                <c:pt idx="41">
                  <c:v>87.8</c:v>
                </c:pt>
                <c:pt idx="42">
                  <c:v>88.7</c:v>
                </c:pt>
                <c:pt idx="43">
                  <c:v>89.6</c:v>
                </c:pt>
                <c:pt idx="44">
                  <c:v>90.5</c:v>
                </c:pt>
                <c:pt idx="45">
                  <c:v>91.4</c:v>
                </c:pt>
                <c:pt idx="46">
                  <c:v>92.3</c:v>
                </c:pt>
                <c:pt idx="47">
                  <c:v>93.2</c:v>
                </c:pt>
                <c:pt idx="48">
                  <c:v>94.1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E4-4AC9-8848-9068EB2C7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5887"/>
        <c:axId val="9348767"/>
      </c:scatterChart>
      <c:valAx>
        <c:axId val="9345887"/>
        <c:scaling>
          <c:orientation val="minMax"/>
          <c:min val="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9348767"/>
        <c:crosses val="autoZero"/>
        <c:crossBetween val="midCat"/>
      </c:valAx>
      <c:valAx>
        <c:axId val="9348767"/>
        <c:scaling>
          <c:orientation val="minMax"/>
          <c:min val="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934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student_performance_analysis!$K$21</c:f>
              <c:strCache>
                <c:ptCount val="1"/>
                <c:pt idx="0">
                  <c:v>No. of Student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student_performance_analysis!$J$22:$J$24</c:f>
              <c:strCache>
                <c:ptCount val="3"/>
                <c:pt idx="0">
                  <c:v>High Performer (85-100)</c:v>
                </c:pt>
                <c:pt idx="1">
                  <c:v>Medium Performer (70-84)</c:v>
                </c:pt>
                <c:pt idx="2">
                  <c:v>Low Performer (50-69)</c:v>
                </c:pt>
              </c:strCache>
            </c:strRef>
          </c:cat>
          <c:val>
            <c:numRef>
              <c:f>student_performance_analysis!$K$22:$K$24</c:f>
              <c:numCache>
                <c:formatCode>General</c:formatCode>
                <c:ptCount val="3"/>
                <c:pt idx="0">
                  <c:v>11</c:v>
                </c:pt>
                <c:pt idx="1">
                  <c:v>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A9D-AD40-E1D5534E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87307408"/>
        <c:axId val="687317008"/>
      </c:barChart>
      <c:catAx>
        <c:axId val="68730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87317008"/>
        <c:crosses val="autoZero"/>
        <c:auto val="1"/>
        <c:lblAlgn val="ctr"/>
        <c:lblOffset val="100"/>
        <c:noMultiLvlLbl val="0"/>
      </c:catAx>
      <c:valAx>
        <c:axId val="6873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8730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student_performance_analysis!$H$2</c:f>
              <c:strCache>
                <c:ptCount val="1"/>
                <c:pt idx="0">
                  <c:v>Predicted Score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127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student_performance_analysis!$G$3:$G$52</c:f>
              <c:numCache>
                <c:formatCode>General</c:formatCode>
                <c:ptCount val="50"/>
                <c:pt idx="0">
                  <c:v>50.9</c:v>
                </c:pt>
                <c:pt idx="1">
                  <c:v>51.8</c:v>
                </c:pt>
                <c:pt idx="2">
                  <c:v>52.7</c:v>
                </c:pt>
                <c:pt idx="3">
                  <c:v>53.6</c:v>
                </c:pt>
                <c:pt idx="4">
                  <c:v>54.5</c:v>
                </c:pt>
                <c:pt idx="5">
                  <c:v>55.4</c:v>
                </c:pt>
                <c:pt idx="6">
                  <c:v>56.3</c:v>
                </c:pt>
                <c:pt idx="7">
                  <c:v>57.2</c:v>
                </c:pt>
                <c:pt idx="8">
                  <c:v>58.1</c:v>
                </c:pt>
                <c:pt idx="9">
                  <c:v>59</c:v>
                </c:pt>
                <c:pt idx="10">
                  <c:v>59.9</c:v>
                </c:pt>
                <c:pt idx="11">
                  <c:v>60.8</c:v>
                </c:pt>
                <c:pt idx="12">
                  <c:v>61.7</c:v>
                </c:pt>
                <c:pt idx="13">
                  <c:v>62.6</c:v>
                </c:pt>
                <c:pt idx="14">
                  <c:v>63.5</c:v>
                </c:pt>
                <c:pt idx="15">
                  <c:v>64.400000000000006</c:v>
                </c:pt>
                <c:pt idx="16">
                  <c:v>65.3</c:v>
                </c:pt>
                <c:pt idx="17">
                  <c:v>66.2</c:v>
                </c:pt>
                <c:pt idx="18">
                  <c:v>67.099999999999994</c:v>
                </c:pt>
                <c:pt idx="19">
                  <c:v>68</c:v>
                </c:pt>
                <c:pt idx="20">
                  <c:v>68.900000000000006</c:v>
                </c:pt>
                <c:pt idx="21">
                  <c:v>69.8</c:v>
                </c:pt>
                <c:pt idx="22">
                  <c:v>70.7</c:v>
                </c:pt>
                <c:pt idx="23">
                  <c:v>71.599999999999994</c:v>
                </c:pt>
                <c:pt idx="24">
                  <c:v>72.5</c:v>
                </c:pt>
                <c:pt idx="25">
                  <c:v>73.400000000000006</c:v>
                </c:pt>
                <c:pt idx="26">
                  <c:v>74.3</c:v>
                </c:pt>
                <c:pt idx="27">
                  <c:v>75.2</c:v>
                </c:pt>
                <c:pt idx="28">
                  <c:v>76.099999999999994</c:v>
                </c:pt>
                <c:pt idx="29">
                  <c:v>77</c:v>
                </c:pt>
                <c:pt idx="30">
                  <c:v>77.900000000000006</c:v>
                </c:pt>
                <c:pt idx="31">
                  <c:v>78.8</c:v>
                </c:pt>
                <c:pt idx="32">
                  <c:v>79.7</c:v>
                </c:pt>
                <c:pt idx="33">
                  <c:v>80.599999999999994</c:v>
                </c:pt>
                <c:pt idx="34">
                  <c:v>81.5</c:v>
                </c:pt>
                <c:pt idx="35">
                  <c:v>82.4</c:v>
                </c:pt>
                <c:pt idx="36">
                  <c:v>83.3</c:v>
                </c:pt>
                <c:pt idx="37">
                  <c:v>84.2</c:v>
                </c:pt>
                <c:pt idx="38">
                  <c:v>85.1</c:v>
                </c:pt>
                <c:pt idx="39">
                  <c:v>86</c:v>
                </c:pt>
                <c:pt idx="40">
                  <c:v>86.9</c:v>
                </c:pt>
                <c:pt idx="41">
                  <c:v>87.8</c:v>
                </c:pt>
                <c:pt idx="42">
                  <c:v>88.7</c:v>
                </c:pt>
                <c:pt idx="43">
                  <c:v>89.6</c:v>
                </c:pt>
                <c:pt idx="44">
                  <c:v>90.5</c:v>
                </c:pt>
                <c:pt idx="45">
                  <c:v>91.4</c:v>
                </c:pt>
                <c:pt idx="46">
                  <c:v>92.3</c:v>
                </c:pt>
                <c:pt idx="47">
                  <c:v>93.2</c:v>
                </c:pt>
                <c:pt idx="48">
                  <c:v>94.1</c:v>
                </c:pt>
                <c:pt idx="49">
                  <c:v>50</c:v>
                </c:pt>
              </c:numCache>
            </c:numRef>
          </c:xVal>
          <c:yVal>
            <c:numRef>
              <c:f>student_performance_analysis!$H$3:$H$52</c:f>
              <c:numCache>
                <c:formatCode>0</c:formatCode>
                <c:ptCount val="50"/>
                <c:pt idx="0">
                  <c:v>69.063496014261204</c:v>
                </c:pt>
                <c:pt idx="1">
                  <c:v>69.990059197470643</c:v>
                </c:pt>
                <c:pt idx="2">
                  <c:v>70.916622380680082</c:v>
                </c:pt>
                <c:pt idx="3">
                  <c:v>71.843185563889534</c:v>
                </c:pt>
                <c:pt idx="4">
                  <c:v>72.769748747098973</c:v>
                </c:pt>
                <c:pt idx="5">
                  <c:v>73.696311930308426</c:v>
                </c:pt>
                <c:pt idx="6">
                  <c:v>74.622875113517864</c:v>
                </c:pt>
                <c:pt idx="7">
                  <c:v>75.549438296727317</c:v>
                </c:pt>
                <c:pt idx="8">
                  <c:v>76.476001479936755</c:v>
                </c:pt>
                <c:pt idx="9">
                  <c:v>70.571891291917524</c:v>
                </c:pt>
                <c:pt idx="10">
                  <c:v>71.498454475126962</c:v>
                </c:pt>
                <c:pt idx="11">
                  <c:v>72.425017658336401</c:v>
                </c:pt>
                <c:pt idx="12">
                  <c:v>73.351580841545854</c:v>
                </c:pt>
                <c:pt idx="13">
                  <c:v>74.278144024755306</c:v>
                </c:pt>
                <c:pt idx="14">
                  <c:v>75.204707207964731</c:v>
                </c:pt>
                <c:pt idx="15">
                  <c:v>76.131270391174183</c:v>
                </c:pt>
                <c:pt idx="16">
                  <c:v>77.057833574383622</c:v>
                </c:pt>
                <c:pt idx="17">
                  <c:v>77.984396757593075</c:v>
                </c:pt>
                <c:pt idx="18">
                  <c:v>78.910959940802513</c:v>
                </c:pt>
                <c:pt idx="19">
                  <c:v>73.006849752783282</c:v>
                </c:pt>
                <c:pt idx="20">
                  <c:v>73.93341293599272</c:v>
                </c:pt>
                <c:pt idx="21">
                  <c:v>74.859976119202173</c:v>
                </c:pt>
                <c:pt idx="22">
                  <c:v>75.786539302411612</c:v>
                </c:pt>
                <c:pt idx="23">
                  <c:v>76.713102485621064</c:v>
                </c:pt>
                <c:pt idx="24">
                  <c:v>77.639665668830503</c:v>
                </c:pt>
                <c:pt idx="25">
                  <c:v>78.566228852039956</c:v>
                </c:pt>
                <c:pt idx="26">
                  <c:v>79.49279203524938</c:v>
                </c:pt>
                <c:pt idx="27">
                  <c:v>80.419355218458833</c:v>
                </c:pt>
                <c:pt idx="28">
                  <c:v>81.345918401668271</c:v>
                </c:pt>
                <c:pt idx="29">
                  <c:v>75.44180821364904</c:v>
                </c:pt>
                <c:pt idx="30">
                  <c:v>76.368371396858493</c:v>
                </c:pt>
                <c:pt idx="31">
                  <c:v>77.294934580067931</c:v>
                </c:pt>
                <c:pt idx="32">
                  <c:v>78.22149776327737</c:v>
                </c:pt>
                <c:pt idx="33">
                  <c:v>79.148060946486822</c:v>
                </c:pt>
                <c:pt idx="34">
                  <c:v>80.074624129696261</c:v>
                </c:pt>
                <c:pt idx="35">
                  <c:v>81.001187312905714</c:v>
                </c:pt>
                <c:pt idx="36">
                  <c:v>81.927750496115152</c:v>
                </c:pt>
                <c:pt idx="37">
                  <c:v>82.854313679324605</c:v>
                </c:pt>
                <c:pt idx="38">
                  <c:v>83.780876862534029</c:v>
                </c:pt>
                <c:pt idx="39">
                  <c:v>68.136932831051752</c:v>
                </c:pt>
                <c:pt idx="40">
                  <c:v>69.063496014261204</c:v>
                </c:pt>
                <c:pt idx="41">
                  <c:v>69.990059197470643</c:v>
                </c:pt>
                <c:pt idx="42">
                  <c:v>70.916622380680082</c:v>
                </c:pt>
                <c:pt idx="43">
                  <c:v>71.843185563889534</c:v>
                </c:pt>
                <c:pt idx="44">
                  <c:v>72.769748747098973</c:v>
                </c:pt>
                <c:pt idx="45">
                  <c:v>73.696311930308426</c:v>
                </c:pt>
                <c:pt idx="46">
                  <c:v>74.622875113517864</c:v>
                </c:pt>
                <c:pt idx="47">
                  <c:v>75.549438296727317</c:v>
                </c:pt>
                <c:pt idx="48">
                  <c:v>76.476001479936755</c:v>
                </c:pt>
                <c:pt idx="49">
                  <c:v>70.571891291917524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E9-43D6-AD9E-BDA276DAB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1968"/>
        <c:axId val="472591056"/>
      </c:scatterChart>
      <c:valAx>
        <c:axId val="363761968"/>
        <c:scaling>
          <c:orientation val="minMax"/>
          <c:min val="4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472591056"/>
        <c:crosses val="autoZero"/>
        <c:crossBetween val="midCat"/>
      </c:valAx>
      <c:valAx>
        <c:axId val="472591056"/>
        <c:scaling>
          <c:orientation val="minMax"/>
          <c:min val="65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36376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[student_performance_analysis.xlsx]student_performance_analysis!PivotTable22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16200000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</a:schemeClr>
          </a:solidFill>
          <a:ln w="19050">
            <a:noFill/>
          </a:ln>
          <a:effectLst>
            <a:outerShdw blurRad="50800" dist="38100" dir="16200000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.17523809523809511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50000"/>
            </a:schemeClr>
          </a:solidFill>
          <a:ln w="19050">
            <a:noFill/>
          </a:ln>
          <a:effectLst>
            <a:outerShdw blurRad="50800" dist="38100" dir="16200000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0.18666666666666668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student_performance_analysis!$U$18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explosion val="2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0F-4924-B152-E96275A5F540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0F-4924-B152-E96275A5F540}"/>
              </c:ext>
            </c:extLst>
          </c:dPt>
          <c:dLbls>
            <c:dLbl>
              <c:idx val="0"/>
              <c:layout>
                <c:manualLayout>
                  <c:x val="0.17523809523809511"/>
                  <c:y val="-0.203703703703703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F-4924-B152-E96275A5F540}"/>
                </c:ext>
              </c:extLst>
            </c:dLbl>
            <c:dLbl>
              <c:idx val="1"/>
              <c:layout>
                <c:manualLayout>
                  <c:x val="-0.18666666666666668"/>
                  <c:y val="0.1111111111111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F-4924-B152-E96275A5F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student_performance_analysis!$T$19:$T$21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student_performance_analysis!$U$19:$U$21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0F-4924-B152-E96275A5F540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46"/>
        <c:holeSize val="69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clusteredColumn" uniqueId="{38E2CFE5-1160-4E48-86F1-E3797E1C713D}">
          <cx:tx>
            <cx:txData>
              <cx:f>_xlchart.v1.1</cx:f>
              <cx:v>Distribution</cx:v>
            </cx:txData>
          </cx:tx>
          <cx:spPr>
            <a:solidFill>
              <a:schemeClr val="accent6">
                <a:lumMod val="50000"/>
              </a:schemeClr>
            </a:soli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 b="1">
                    <a:solidFill>
                      <a:schemeClr val="accent6">
                        <a:lumMod val="50000"/>
                      </a:schemeClr>
                    </a:solidFill>
                    <a:latin typeface="Consolas" panose="020B0609020204030204" pitchFamily="49" charset="0"/>
                    <a:ea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 sz="700" b="1" i="0" u="none" strike="noStrike" baseline="0">
                  <a:solidFill>
                    <a:schemeClr val="accent6">
                      <a:lumMod val="50000"/>
                    </a:schemeClr>
                  </a:solidFill>
                  <a:latin typeface="Consolas" panose="020B0609020204030204" pitchFamily="49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FF414844-8BAB-4A4B-BE38-1F16432F1F2E}">
          <cx:spPr>
            <a:ln w="6350">
              <a:solidFill>
                <a:srgbClr val="FF0000"/>
              </a:solidFill>
            </a:ln>
          </cx:spPr>
          <cx:axisId val="2"/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Consolas" panose="020B0609020204030204" pitchFamily="49" charset="0"/>
                <a:cs typeface="Consolas" panose="020B0609020204030204" pitchFamily="49" charset="0"/>
              </a:defRPr>
            </a:pPr>
            <a:endParaRPr lang="en-US" sz="1000" b="1" i="0" u="none" strike="noStrike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Consolas" panose="020B0609020204030204" pitchFamily="49" charset="0"/>
                <a:cs typeface="Consolas" panose="020B0609020204030204" pitchFamily="49" charset="0"/>
              </a:defRPr>
            </a:pPr>
            <a:endParaRPr lang="en-US" sz="900" b="1" i="0" u="none" strike="noStrike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endParaRPr>
          </a:p>
        </cx:txPr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 b="1">
                <a:solidFill>
                  <a:schemeClr val="accent6">
                    <a:lumMod val="50000"/>
                  </a:schemeClr>
                </a:solidFill>
                <a:latin typeface="Consolas" panose="020B0609020204030204" pitchFamily="49" charset="0"/>
                <a:ea typeface="Consolas" panose="020B0609020204030204" pitchFamily="49" charset="0"/>
                <a:cs typeface="Consolas" panose="020B0609020204030204" pitchFamily="49" charset="0"/>
              </a:defRPr>
            </a:pPr>
            <a:endParaRPr lang="en-US" sz="700" b="1" i="0" u="none" strike="noStrike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image" Target="../media/image19.png"/><Relationship Id="rId3" Type="http://schemas.openxmlformats.org/officeDocument/2006/relationships/chart" Target="../charts/chart3.xml"/><Relationship Id="rId21" Type="http://schemas.openxmlformats.org/officeDocument/2006/relationships/image" Target="../media/image14.svg"/><Relationship Id="rId34" Type="http://schemas.openxmlformats.org/officeDocument/2006/relationships/image" Target="../media/image27.png"/><Relationship Id="rId7" Type="http://schemas.openxmlformats.org/officeDocument/2006/relationships/image" Target="../media/image2.svg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8.svg"/><Relationship Id="rId33" Type="http://schemas.openxmlformats.org/officeDocument/2006/relationships/image" Target="../media/image26.svg"/><Relationship Id="rId2" Type="http://schemas.openxmlformats.org/officeDocument/2006/relationships/chart" Target="../charts/chart2.xml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29" Type="http://schemas.openxmlformats.org/officeDocument/2006/relationships/image" Target="../media/image22.svg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microsoft.com/office/2014/relationships/chartEx" Target="../charts/chartEx1.xml"/><Relationship Id="rId24" Type="http://schemas.openxmlformats.org/officeDocument/2006/relationships/image" Target="../media/image17.png"/><Relationship Id="rId32" Type="http://schemas.openxmlformats.org/officeDocument/2006/relationships/image" Target="../media/image25.png"/><Relationship Id="rId5" Type="http://schemas.openxmlformats.org/officeDocument/2006/relationships/chart" Target="../charts/chart5.xml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28" Type="http://schemas.openxmlformats.org/officeDocument/2006/relationships/image" Target="../media/image21.png"/><Relationship Id="rId10" Type="http://schemas.openxmlformats.org/officeDocument/2006/relationships/chart" Target="../charts/chart6.xml"/><Relationship Id="rId19" Type="http://schemas.openxmlformats.org/officeDocument/2006/relationships/image" Target="../media/image12.svg"/><Relationship Id="rId31" Type="http://schemas.openxmlformats.org/officeDocument/2006/relationships/image" Target="../media/image24.svg"/><Relationship Id="rId4" Type="http://schemas.openxmlformats.org/officeDocument/2006/relationships/chart" Target="../charts/chart4.xml"/><Relationship Id="rId9" Type="http://schemas.openxmlformats.org/officeDocument/2006/relationships/image" Target="../media/image4.svg"/><Relationship Id="rId14" Type="http://schemas.openxmlformats.org/officeDocument/2006/relationships/image" Target="../media/image7.png"/><Relationship Id="rId22" Type="http://schemas.openxmlformats.org/officeDocument/2006/relationships/image" Target="../media/image15.png"/><Relationship Id="rId27" Type="http://schemas.openxmlformats.org/officeDocument/2006/relationships/image" Target="../media/image20.svg"/><Relationship Id="rId30" Type="http://schemas.openxmlformats.org/officeDocument/2006/relationships/image" Target="../media/image23.png"/><Relationship Id="rId35" Type="http://schemas.openxmlformats.org/officeDocument/2006/relationships/image" Target="../media/image28.sv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234950</xdr:colOff>
      <xdr:row>1</xdr:row>
      <xdr:rowOff>0</xdr:rowOff>
    </xdr:from>
    <xdr:to>
      <xdr:col>12</xdr:col>
      <xdr:colOff>800100</xdr:colOff>
      <xdr:row>3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86D4C9D-5A69-D27D-E42F-35626ED8482E}"/>
            </a:ext>
          </a:extLst>
        </xdr:cNvPr>
        <xdr:cNvSpPr/>
      </xdr:nvSpPr>
      <xdr:spPr>
        <a:xfrm>
          <a:off x="7499350" y="0"/>
          <a:ext cx="1181100" cy="4889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254000</xdr:colOff>
      <xdr:row>34</xdr:row>
      <xdr:rowOff>38100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50A6645-0B5B-FF02-2770-12BC1958AA50}"/>
            </a:ext>
          </a:extLst>
        </xdr:cNvPr>
        <xdr:cNvGrpSpPr/>
      </xdr:nvGrpSpPr>
      <xdr:grpSpPr>
        <a:xfrm>
          <a:off x="0" y="0"/>
          <a:ext cx="11747500" cy="5594350"/>
          <a:chOff x="0" y="0"/>
          <a:chExt cx="11747500" cy="5607050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A4FD220C-1668-D9E9-97C5-6CA8D674D1EC}"/>
              </a:ext>
            </a:extLst>
          </xdr:cNvPr>
          <xdr:cNvSpPr/>
        </xdr:nvSpPr>
        <xdr:spPr>
          <a:xfrm>
            <a:off x="6946900" y="431800"/>
            <a:ext cx="901700" cy="882650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A3399CD-EBFF-8319-43C4-DD0BE2AC3FBC}"/>
              </a:ext>
            </a:extLst>
          </xdr:cNvPr>
          <xdr:cNvGrpSpPr/>
        </xdr:nvGrpSpPr>
        <xdr:grpSpPr>
          <a:xfrm>
            <a:off x="7378700" y="0"/>
            <a:ext cx="4368800" cy="5607050"/>
            <a:chOff x="7378700" y="0"/>
            <a:chExt cx="4368800" cy="5607050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AC9D5D50-3224-2A46-D89D-CD545E11E3BA}"/>
                </a:ext>
              </a:extLst>
            </xdr:cNvPr>
            <xdr:cNvSpPr/>
          </xdr:nvSpPr>
          <xdr:spPr>
            <a:xfrm>
              <a:off x="11512550" y="298450"/>
              <a:ext cx="228600" cy="1006255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kern="1200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B41FF2C2-49A4-9314-5D53-7717C94148A7}"/>
                </a:ext>
              </a:extLst>
            </xdr:cNvPr>
            <xdr:cNvSpPr/>
          </xdr:nvSpPr>
          <xdr:spPr>
            <a:xfrm>
              <a:off x="7588250" y="0"/>
              <a:ext cx="4146550" cy="311150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kern="1200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CA31F80-67EE-7CAC-E4D4-93BE7539480C}"/>
                </a:ext>
              </a:extLst>
            </xdr:cNvPr>
            <xdr:cNvSpPr/>
          </xdr:nvSpPr>
          <xdr:spPr>
            <a:xfrm>
              <a:off x="7378700" y="1291976"/>
              <a:ext cx="4368800" cy="4315074"/>
            </a:xfrm>
            <a:prstGeom prst="rect">
              <a:avLst/>
            </a:prstGeom>
            <a:solidFill>
              <a:schemeClr val="accent6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kern="1200"/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16EFF5B-AC19-0A9F-B608-FDDB65A6F98F}"/>
              </a:ext>
            </a:extLst>
          </xdr:cNvPr>
          <xdr:cNvSpPr/>
        </xdr:nvSpPr>
        <xdr:spPr>
          <a:xfrm>
            <a:off x="0" y="12700"/>
            <a:ext cx="7645400" cy="5594350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8</xdr:col>
      <xdr:colOff>38100</xdr:colOff>
      <xdr:row>3</xdr:row>
      <xdr:rowOff>107950</xdr:rowOff>
    </xdr:from>
    <xdr:to>
      <xdr:col>11</xdr:col>
      <xdr:colOff>546100</xdr:colOff>
      <xdr:row>16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C3A6EA7-7356-F6E1-B58F-57373004A201}"/>
            </a:ext>
          </a:extLst>
        </xdr:cNvPr>
        <xdr:cNvSpPr/>
      </xdr:nvSpPr>
      <xdr:spPr>
        <a:xfrm>
          <a:off x="5321300" y="444500"/>
          <a:ext cx="2489200" cy="2127250"/>
        </a:xfrm>
        <a:prstGeom prst="roundRect">
          <a:avLst>
            <a:gd name="adj" fmla="val 493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95250</xdr:colOff>
      <xdr:row>3</xdr:row>
      <xdr:rowOff>101600</xdr:rowOff>
    </xdr:from>
    <xdr:to>
      <xdr:col>7</xdr:col>
      <xdr:colOff>603250</xdr:colOff>
      <xdr:row>16</xdr:row>
      <xdr:rowOff>69850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16DF520-C896-0FAD-D32F-F0F8C3182E96}"/>
            </a:ext>
          </a:extLst>
        </xdr:cNvPr>
        <xdr:cNvSpPr/>
      </xdr:nvSpPr>
      <xdr:spPr>
        <a:xfrm>
          <a:off x="2736850" y="438150"/>
          <a:ext cx="2489200" cy="2127250"/>
        </a:xfrm>
        <a:prstGeom prst="roundRect">
          <a:avLst>
            <a:gd name="adj" fmla="val 493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120650</xdr:colOff>
      <xdr:row>17</xdr:row>
      <xdr:rowOff>6350</xdr:rowOff>
    </xdr:from>
    <xdr:to>
      <xdr:col>3</xdr:col>
      <xdr:colOff>311150</xdr:colOff>
      <xdr:row>32</xdr:row>
      <xdr:rowOff>50800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A8F630F-7CCA-4B99-98FD-BF20FCC3A47B}"/>
            </a:ext>
          </a:extLst>
        </xdr:cNvPr>
        <xdr:cNvSpPr/>
      </xdr:nvSpPr>
      <xdr:spPr>
        <a:xfrm>
          <a:off x="120650" y="2667000"/>
          <a:ext cx="2171700" cy="2520950"/>
        </a:xfrm>
        <a:prstGeom prst="roundRect">
          <a:avLst>
            <a:gd name="adj" fmla="val 1162"/>
          </a:avLst>
        </a:prstGeom>
        <a:solidFill>
          <a:schemeClr val="bg1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374650</xdr:colOff>
      <xdr:row>19</xdr:row>
      <xdr:rowOff>144780</xdr:rowOff>
    </xdr:from>
    <xdr:to>
      <xdr:col>2</xdr:col>
      <xdr:colOff>304800</xdr:colOff>
      <xdr:row>22</xdr:row>
      <xdr:rowOff>106680</xdr:rowOff>
    </xdr:to>
    <xdr:sp macro="" textlink="student_performance_analysis!AA23">
      <xdr:nvSpPr>
        <xdr:cNvPr id="35" name="Rectangle: Rounded Corners 34">
          <a:extLst>
            <a:ext uri="{FF2B5EF4-FFF2-40B4-BE49-F238E27FC236}">
              <a16:creationId xmlns:a16="http://schemas.microsoft.com/office/drawing/2014/main" id="{6A4CA384-42A9-2B0B-10F7-0911DD1ACC8C}"/>
            </a:ext>
          </a:extLst>
        </xdr:cNvPr>
        <xdr:cNvSpPr/>
      </xdr:nvSpPr>
      <xdr:spPr>
        <a:xfrm>
          <a:off x="1035050" y="3135630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F23A1C-6E8A-4B93-ADA5-2D0FE2D18214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12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368300</xdr:colOff>
      <xdr:row>22</xdr:row>
      <xdr:rowOff>155787</xdr:rowOff>
    </xdr:from>
    <xdr:to>
      <xdr:col>2</xdr:col>
      <xdr:colOff>298450</xdr:colOff>
      <xdr:row>25</xdr:row>
      <xdr:rowOff>117687</xdr:rowOff>
    </xdr:to>
    <xdr:sp macro="" textlink="student_performance_analysis!AA33">
      <xdr:nvSpPr>
        <xdr:cNvPr id="36" name="Rectangle: Rounded Corners 35">
          <a:extLst>
            <a:ext uri="{FF2B5EF4-FFF2-40B4-BE49-F238E27FC236}">
              <a16:creationId xmlns:a16="http://schemas.microsoft.com/office/drawing/2014/main" id="{0556DCCA-0468-E0CF-D04F-4A412F172C6B}"/>
            </a:ext>
          </a:extLst>
        </xdr:cNvPr>
        <xdr:cNvSpPr/>
      </xdr:nvSpPr>
      <xdr:spPr>
        <a:xfrm>
          <a:off x="1028700" y="3641937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3592CED-2279-4740-B19E-F5399E08A25F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10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368300</xdr:colOff>
      <xdr:row>26</xdr:row>
      <xdr:rowOff>20744</xdr:rowOff>
    </xdr:from>
    <xdr:to>
      <xdr:col>2</xdr:col>
      <xdr:colOff>298450</xdr:colOff>
      <xdr:row>28</xdr:row>
      <xdr:rowOff>147744</xdr:rowOff>
    </xdr:to>
    <xdr:sp macro="" textlink="student_performance_analysis!AA28">
      <xdr:nvSpPr>
        <xdr:cNvPr id="37" name="Rectangle: Rounded Corners 36">
          <a:extLst>
            <a:ext uri="{FF2B5EF4-FFF2-40B4-BE49-F238E27FC236}">
              <a16:creationId xmlns:a16="http://schemas.microsoft.com/office/drawing/2014/main" id="{BA889DCC-F8E1-321F-4CE1-E82AC9B74C4E}"/>
            </a:ext>
          </a:extLst>
        </xdr:cNvPr>
        <xdr:cNvSpPr/>
      </xdr:nvSpPr>
      <xdr:spPr>
        <a:xfrm>
          <a:off x="1028700" y="4167294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0B78999-ADEF-405E-AFD6-D9B5EB9422DB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77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376766</xdr:colOff>
      <xdr:row>19</xdr:row>
      <xdr:rowOff>146050</xdr:rowOff>
    </xdr:from>
    <xdr:to>
      <xdr:col>3</xdr:col>
      <xdr:colOff>306916</xdr:colOff>
      <xdr:row>22</xdr:row>
      <xdr:rowOff>107950</xdr:rowOff>
    </xdr:to>
    <xdr:sp macro="" textlink="student_performance_analysis!AA24">
      <xdr:nvSpPr>
        <xdr:cNvPr id="41" name="Rectangle: Rounded Corners 40">
          <a:extLst>
            <a:ext uri="{FF2B5EF4-FFF2-40B4-BE49-F238E27FC236}">
              <a16:creationId xmlns:a16="http://schemas.microsoft.com/office/drawing/2014/main" id="{5E09687C-18EF-8EE0-CC47-10CA6D7FDCD4}"/>
            </a:ext>
          </a:extLst>
        </xdr:cNvPr>
        <xdr:cNvSpPr/>
      </xdr:nvSpPr>
      <xdr:spPr>
        <a:xfrm>
          <a:off x="1697566" y="3136900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4CF5D30-74AF-4AB4-AAC7-E86CEC539EC4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10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370416</xdr:colOff>
      <xdr:row>22</xdr:row>
      <xdr:rowOff>156633</xdr:rowOff>
    </xdr:from>
    <xdr:to>
      <xdr:col>3</xdr:col>
      <xdr:colOff>300566</xdr:colOff>
      <xdr:row>25</xdr:row>
      <xdr:rowOff>118533</xdr:rowOff>
    </xdr:to>
    <xdr:sp macro="" textlink="student_performance_analysis!AA34">
      <xdr:nvSpPr>
        <xdr:cNvPr id="42" name="Rectangle: Rounded Corners 41">
          <a:extLst>
            <a:ext uri="{FF2B5EF4-FFF2-40B4-BE49-F238E27FC236}">
              <a16:creationId xmlns:a16="http://schemas.microsoft.com/office/drawing/2014/main" id="{9F5BB288-3CB3-70A0-D8B4-C27D8D961E22}"/>
            </a:ext>
          </a:extLst>
        </xdr:cNvPr>
        <xdr:cNvSpPr/>
      </xdr:nvSpPr>
      <xdr:spPr>
        <a:xfrm>
          <a:off x="1691216" y="3642783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87A6850-B9B2-4CA0-B1BA-61021B572FB0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9</a:t>
          </a:fld>
          <a:endParaRPr lang="en-US" sz="239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370416</xdr:colOff>
      <xdr:row>26</xdr:row>
      <xdr:rowOff>21166</xdr:rowOff>
    </xdr:from>
    <xdr:to>
      <xdr:col>3</xdr:col>
      <xdr:colOff>300566</xdr:colOff>
      <xdr:row>28</xdr:row>
      <xdr:rowOff>148166</xdr:rowOff>
    </xdr:to>
    <xdr:sp macro="" textlink="student_performance_analysis!AA29">
      <xdr:nvSpPr>
        <xdr:cNvPr id="43" name="Rectangle: Rounded Corners 42">
          <a:extLst>
            <a:ext uri="{FF2B5EF4-FFF2-40B4-BE49-F238E27FC236}">
              <a16:creationId xmlns:a16="http://schemas.microsoft.com/office/drawing/2014/main" id="{EFB15E75-E3EF-5937-C5CE-0A478073F55E}"/>
            </a:ext>
          </a:extLst>
        </xdr:cNvPr>
        <xdr:cNvSpPr/>
      </xdr:nvSpPr>
      <xdr:spPr>
        <a:xfrm>
          <a:off x="1691216" y="4167716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4D3982E-E600-443B-870F-E35DBA4A454F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76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376766</xdr:colOff>
      <xdr:row>29</xdr:row>
      <xdr:rowOff>44450</xdr:rowOff>
    </xdr:from>
    <xdr:to>
      <xdr:col>3</xdr:col>
      <xdr:colOff>306916</xdr:colOff>
      <xdr:row>32</xdr:row>
      <xdr:rowOff>6350</xdr:rowOff>
    </xdr:to>
    <xdr:sp macro="" textlink="student_performance_analysis!AD19">
      <xdr:nvSpPr>
        <xdr:cNvPr id="44" name="Rectangle: Rounded Corners 43">
          <a:extLst>
            <a:ext uri="{FF2B5EF4-FFF2-40B4-BE49-F238E27FC236}">
              <a16:creationId xmlns:a16="http://schemas.microsoft.com/office/drawing/2014/main" id="{E28F054B-2AE7-57D3-53E7-3272A5531F4D}"/>
            </a:ext>
          </a:extLst>
        </xdr:cNvPr>
        <xdr:cNvSpPr/>
      </xdr:nvSpPr>
      <xdr:spPr>
        <a:xfrm>
          <a:off x="1697566" y="4686300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94F3936-2AC9-4B0F-8B00-83707BB7BF33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72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374650</xdr:colOff>
      <xdr:row>29</xdr:row>
      <xdr:rowOff>38100</xdr:rowOff>
    </xdr:from>
    <xdr:to>
      <xdr:col>2</xdr:col>
      <xdr:colOff>304800</xdr:colOff>
      <xdr:row>32</xdr:row>
      <xdr:rowOff>0</xdr:rowOff>
    </xdr:to>
    <xdr:sp macro="" textlink="student_performance_analysis!AD18">
      <xdr:nvSpPr>
        <xdr:cNvPr id="45" name="Rectangle: Rounded Corners 44">
          <a:extLst>
            <a:ext uri="{FF2B5EF4-FFF2-40B4-BE49-F238E27FC236}">
              <a16:creationId xmlns:a16="http://schemas.microsoft.com/office/drawing/2014/main" id="{66942E15-8AC4-F95E-24D8-73E5A95F8CE1}"/>
            </a:ext>
          </a:extLst>
        </xdr:cNvPr>
        <xdr:cNvSpPr/>
      </xdr:nvSpPr>
      <xdr:spPr>
        <a:xfrm>
          <a:off x="1035050" y="4679950"/>
          <a:ext cx="590550" cy="457200"/>
        </a:xfrm>
        <a:prstGeom prst="roundRect">
          <a:avLst>
            <a:gd name="adj" fmla="val 4216"/>
          </a:avLst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75D81-9FFB-45CC-AA0D-1F4431537300}" type="TxLink">
            <a:rPr lang="en-US" sz="2800" b="1" i="0" u="none" strike="noStrike" kern="1200">
              <a:solidFill>
                <a:schemeClr val="bg1"/>
              </a:solidFill>
              <a:latin typeface="Consolas" panose="020B0609020204030204" pitchFamily="49" charset="0"/>
              <a:cs typeface="Times New Roman" panose="02020603050405020304" pitchFamily="18" charset="0"/>
            </a:rPr>
            <a:pPr algn="l"/>
            <a:t>73</a:t>
          </a:fld>
          <a:endParaRPr lang="en-US" sz="6600" b="1" kern="1200">
            <a:solidFill>
              <a:schemeClr val="bg1"/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24</xdr:row>
      <xdr:rowOff>114300</xdr:rowOff>
    </xdr:from>
    <xdr:to>
      <xdr:col>1</xdr:col>
      <xdr:colOff>495300</xdr:colOff>
      <xdr:row>26</xdr:row>
      <xdr:rowOff>25400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CC46FAD-5CB1-589B-374D-B907BAA1BCF9}"/>
            </a:ext>
          </a:extLst>
        </xdr:cNvPr>
        <xdr:cNvSpPr txBox="1"/>
      </xdr:nvSpPr>
      <xdr:spPr>
        <a:xfrm>
          <a:off x="381000" y="3930650"/>
          <a:ext cx="774700" cy="24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7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Assignment</a:t>
          </a:r>
          <a:endParaRPr lang="en-US" sz="7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330200</xdr:colOff>
      <xdr:row>27</xdr:row>
      <xdr:rowOff>114300</xdr:rowOff>
    </xdr:from>
    <xdr:to>
      <xdr:col>1</xdr:col>
      <xdr:colOff>444500</xdr:colOff>
      <xdr:row>29</xdr:row>
      <xdr:rowOff>9098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AC1E6B6-CAB3-2B9A-A1C4-6F092F10E2C8}"/>
            </a:ext>
          </a:extLst>
        </xdr:cNvPr>
        <xdr:cNvSpPr txBox="1"/>
      </xdr:nvSpPr>
      <xdr:spPr>
        <a:xfrm>
          <a:off x="330200" y="4514850"/>
          <a:ext cx="774700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7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Attendance  </a:t>
          </a:r>
          <a:r>
            <a:rPr lang="en-US" sz="700" b="1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  <a:cs typeface="Times New Roman" panose="02020603050405020304" pitchFamily="18" charset="0"/>
            </a:rPr>
            <a:t> </a:t>
          </a:r>
          <a:endParaRPr lang="en-US" sz="7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412750</xdr:colOff>
      <xdr:row>30</xdr:row>
      <xdr:rowOff>133350</xdr:rowOff>
    </xdr:from>
    <xdr:to>
      <xdr:col>1</xdr:col>
      <xdr:colOff>414230</xdr:colOff>
      <xdr:row>32</xdr:row>
      <xdr:rowOff>28148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95C5D3-DA8D-4852-7CB4-FF8F5B47A775}"/>
            </a:ext>
          </a:extLst>
        </xdr:cNvPr>
        <xdr:cNvSpPr txBox="1"/>
      </xdr:nvSpPr>
      <xdr:spPr>
        <a:xfrm>
          <a:off x="412750" y="4940300"/>
          <a:ext cx="661880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7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Score</a:t>
          </a:r>
          <a:endParaRPr lang="en-US" sz="7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152400</xdr:colOff>
      <xdr:row>3</xdr:row>
      <xdr:rowOff>95250</xdr:rowOff>
    </xdr:from>
    <xdr:to>
      <xdr:col>4</xdr:col>
      <xdr:colOff>0</xdr:colOff>
      <xdr:row>16</xdr:row>
      <xdr:rowOff>63500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A247404-8AE4-2AE5-45CC-EA836A069267}"/>
            </a:ext>
          </a:extLst>
        </xdr:cNvPr>
        <xdr:cNvSpPr/>
      </xdr:nvSpPr>
      <xdr:spPr>
        <a:xfrm>
          <a:off x="152400" y="431800"/>
          <a:ext cx="2489200" cy="2127250"/>
        </a:xfrm>
        <a:prstGeom prst="roundRect">
          <a:avLst>
            <a:gd name="adj" fmla="val 493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171450</xdr:colOff>
      <xdr:row>5</xdr:row>
      <xdr:rowOff>44450</xdr:rowOff>
    </xdr:from>
    <xdr:to>
      <xdr:col>3</xdr:col>
      <xdr:colOff>577850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5A356-777A-4D20-8129-5320E374A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127000</xdr:colOff>
      <xdr:row>3</xdr:row>
      <xdr:rowOff>82550</xdr:rowOff>
    </xdr:from>
    <xdr:ext cx="1467518" cy="26448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808073B-B3DD-4573-A174-4AE71AAF8D0F}"/>
            </a:ext>
          </a:extLst>
        </xdr:cNvPr>
        <xdr:cNvSpPr txBox="1"/>
      </xdr:nvSpPr>
      <xdr:spPr>
        <a:xfrm>
          <a:off x="127000" y="419100"/>
          <a:ext cx="1467518" cy="264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000" b="1" kern="120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Class Average</a:t>
          </a:r>
        </a:p>
      </xdr:txBody>
    </xdr:sp>
    <xdr:clientData/>
  </xdr:oneCellAnchor>
  <xdr:twoCellAnchor>
    <xdr:from>
      <xdr:col>4</xdr:col>
      <xdr:colOff>114300</xdr:colOff>
      <xdr:row>4</xdr:row>
      <xdr:rowOff>114300</xdr:rowOff>
    </xdr:from>
    <xdr:to>
      <xdr:col>7</xdr:col>
      <xdr:colOff>552449</xdr:colOff>
      <xdr:row>16</xdr:row>
      <xdr:rowOff>44450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F82942-3C26-42FA-8D61-2A66BD7D6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63500</xdr:colOff>
      <xdr:row>3</xdr:row>
      <xdr:rowOff>69850</xdr:rowOff>
    </xdr:from>
    <xdr:ext cx="1736373" cy="242502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6A1205C-0503-410F-A5B3-CDD8C5C8AA7C}"/>
            </a:ext>
          </a:extLst>
        </xdr:cNvPr>
        <xdr:cNvSpPr txBox="1"/>
      </xdr:nvSpPr>
      <xdr:spPr>
        <a:xfrm>
          <a:off x="2705100" y="406400"/>
          <a:ext cx="1736373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kern="120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Hours</a:t>
          </a:r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 Studied </a:t>
          </a:r>
          <a:r>
            <a:rPr lang="en-US" sz="1000" b="1" kern="120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vs Score</a:t>
          </a:r>
        </a:p>
      </xdr:txBody>
    </xdr:sp>
    <xdr:clientData/>
  </xdr:oneCellAnchor>
  <xdr:twoCellAnchor>
    <xdr:from>
      <xdr:col>8</xdr:col>
      <xdr:colOff>50801</xdr:colOff>
      <xdr:row>4</xdr:row>
      <xdr:rowOff>88900</xdr:rowOff>
    </xdr:from>
    <xdr:to>
      <xdr:col>11</xdr:col>
      <xdr:colOff>406401</xdr:colOff>
      <xdr:row>16</xdr:row>
      <xdr:rowOff>57150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BFF39A8-7522-4A35-BB68-D39B41649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38100</xdr:colOff>
      <xdr:row>3</xdr:row>
      <xdr:rowOff>82550</xdr:rowOff>
    </xdr:from>
    <xdr:ext cx="1524776" cy="24250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DA78B4B-E710-4597-D44B-F4D8EB1879BB}"/>
            </a:ext>
          </a:extLst>
        </xdr:cNvPr>
        <xdr:cNvSpPr txBox="1"/>
      </xdr:nvSpPr>
      <xdr:spPr>
        <a:xfrm>
          <a:off x="5321300" y="419100"/>
          <a:ext cx="1524776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Attendance </a:t>
          </a:r>
          <a:r>
            <a:rPr lang="en-US" sz="1000" b="1" kern="120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vs Score</a:t>
          </a:r>
        </a:p>
      </xdr:txBody>
    </xdr:sp>
    <xdr:clientData/>
  </xdr:oneCellAnchor>
  <xdr:twoCellAnchor>
    <xdr:from>
      <xdr:col>3</xdr:col>
      <xdr:colOff>408517</xdr:colOff>
      <xdr:row>17</xdr:row>
      <xdr:rowOff>12700</xdr:rowOff>
    </xdr:from>
    <xdr:to>
      <xdr:col>7</xdr:col>
      <xdr:colOff>319617</xdr:colOff>
      <xdr:row>32</xdr:row>
      <xdr:rowOff>44450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83BFE93-DEDF-A580-EB73-759CB8FFD648}"/>
            </a:ext>
          </a:extLst>
        </xdr:cNvPr>
        <xdr:cNvSpPr/>
      </xdr:nvSpPr>
      <xdr:spPr>
        <a:xfrm>
          <a:off x="2389717" y="2762250"/>
          <a:ext cx="2552700" cy="2508250"/>
        </a:xfrm>
        <a:prstGeom prst="roundRect">
          <a:avLst>
            <a:gd name="adj" fmla="val 875"/>
          </a:avLst>
        </a:prstGeom>
        <a:solidFill>
          <a:schemeClr val="bg1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</xdr:col>
      <xdr:colOff>425450</xdr:colOff>
      <xdr:row>19</xdr:row>
      <xdr:rowOff>25400</xdr:rowOff>
    </xdr:from>
    <xdr:to>
      <xdr:col>7</xdr:col>
      <xdr:colOff>285750</xdr:colOff>
      <xdr:row>32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F6659A-7F0B-4466-8759-06BAF674E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387350</xdr:colOff>
      <xdr:row>21</xdr:row>
      <xdr:rowOff>114300</xdr:rowOff>
    </xdr:from>
    <xdr:to>
      <xdr:col>1</xdr:col>
      <xdr:colOff>501650</xdr:colOff>
      <xdr:row>23</xdr:row>
      <xdr:rowOff>25400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49A2091-B96A-E463-07E1-4BA1AEBA7630}"/>
            </a:ext>
          </a:extLst>
        </xdr:cNvPr>
        <xdr:cNvSpPr txBox="1"/>
      </xdr:nvSpPr>
      <xdr:spPr>
        <a:xfrm>
          <a:off x="387350" y="3435350"/>
          <a:ext cx="774700" cy="24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700" b="1" i="0" u="none" strike="noStrike" kern="0">
              <a:solidFill>
                <a:schemeClr val="accent6">
                  <a:lumMod val="50000"/>
                </a:schemeClr>
              </a:solidFill>
              <a:effectLst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Study</a:t>
          </a:r>
          <a:r>
            <a:rPr lang="en-US" sz="700" b="1" i="0" u="none" strike="noStrike" kern="0" baseline="0">
              <a:solidFill>
                <a:schemeClr val="accent6">
                  <a:lumMod val="50000"/>
                </a:schemeClr>
              </a:solidFill>
              <a:effectLst/>
              <a:latin typeface="Consolas" panose="020B0609020204030204" pitchFamily="49" charset="0"/>
              <a:ea typeface="+mn-ea"/>
              <a:cs typeface="Times New Roman" panose="02020603050405020304" pitchFamily="18" charset="0"/>
            </a:rPr>
            <a:t> Hrs</a:t>
          </a:r>
          <a:endParaRPr lang="en-US" sz="7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416984</xdr:colOff>
      <xdr:row>17</xdr:row>
      <xdr:rowOff>19050</xdr:rowOff>
    </xdr:from>
    <xdr:to>
      <xdr:col>11</xdr:col>
      <xdr:colOff>289984</xdr:colOff>
      <xdr:row>32</xdr:row>
      <xdr:rowOff>38100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B425A47E-93AD-1D95-285E-A34228B11F5A}"/>
            </a:ext>
          </a:extLst>
        </xdr:cNvPr>
        <xdr:cNvSpPr/>
      </xdr:nvSpPr>
      <xdr:spPr>
        <a:xfrm>
          <a:off x="5039784" y="2768600"/>
          <a:ext cx="2514600" cy="2495550"/>
        </a:xfrm>
        <a:prstGeom prst="roundRect">
          <a:avLst>
            <a:gd name="adj" fmla="val 1133"/>
          </a:avLst>
        </a:prstGeom>
        <a:solidFill>
          <a:schemeClr val="bg1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M</a:t>
          </a:r>
        </a:p>
      </xdr:txBody>
    </xdr:sp>
    <xdr:clientData/>
  </xdr:twoCellAnchor>
  <xdr:twoCellAnchor>
    <xdr:from>
      <xdr:col>7</xdr:col>
      <xdr:colOff>419100</xdr:colOff>
      <xdr:row>17</xdr:row>
      <xdr:rowOff>146050</xdr:rowOff>
    </xdr:from>
    <xdr:to>
      <xdr:col>11</xdr:col>
      <xdr:colOff>304801</xdr:colOff>
      <xdr:row>31</xdr:row>
      <xdr:rowOff>139700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A5F987D-4852-4F39-AB55-4718713FE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355600</xdr:colOff>
      <xdr:row>16</xdr:row>
      <xdr:rowOff>158750</xdr:rowOff>
    </xdr:from>
    <xdr:ext cx="2371162" cy="24250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4C78727-3DE1-1B67-AB74-150A8EA58010}"/>
            </a:ext>
          </a:extLst>
        </xdr:cNvPr>
        <xdr:cNvSpPr txBox="1"/>
      </xdr:nvSpPr>
      <xdr:spPr>
        <a:xfrm>
          <a:off x="4978400" y="2654300"/>
          <a:ext cx="2371162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Actual score </a:t>
          </a:r>
          <a:r>
            <a:rPr lang="en-US" sz="1000" b="1" kern="120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vs Predicted</a:t>
          </a:r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 Score</a:t>
          </a:r>
          <a:endParaRPr lang="en-US" sz="10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3</xdr:col>
      <xdr:colOff>342900</xdr:colOff>
      <xdr:row>16</xdr:row>
      <xdr:rowOff>152400</xdr:rowOff>
    </xdr:from>
    <xdr:ext cx="1947969" cy="24250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8A33D5A-7234-908A-C934-6A712FE754E5}"/>
            </a:ext>
          </a:extLst>
        </xdr:cNvPr>
        <xdr:cNvSpPr txBox="1"/>
      </xdr:nvSpPr>
      <xdr:spPr>
        <a:xfrm>
          <a:off x="2324100" y="2647950"/>
          <a:ext cx="1947969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Performance Segementation</a:t>
          </a:r>
          <a:endParaRPr lang="en-US" sz="10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twoCellAnchor editAs="oneCell">
    <xdr:from>
      <xdr:col>2</xdr:col>
      <xdr:colOff>469900</xdr:colOff>
      <xdr:row>17</xdr:row>
      <xdr:rowOff>6350</xdr:rowOff>
    </xdr:from>
    <xdr:to>
      <xdr:col>3</xdr:col>
      <xdr:colOff>266700</xdr:colOff>
      <xdr:row>19</xdr:row>
      <xdr:rowOff>133350</xdr:rowOff>
    </xdr:to>
    <xdr:pic>
      <xdr:nvPicPr>
        <xdr:cNvPr id="34" name="Graphic 33" descr="Man with solid fill">
          <a:extLst>
            <a:ext uri="{FF2B5EF4-FFF2-40B4-BE49-F238E27FC236}">
              <a16:creationId xmlns:a16="http://schemas.microsoft.com/office/drawing/2014/main" id="{C008B28E-FF19-A3CA-1C6A-E44E9132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790700" y="2667000"/>
          <a:ext cx="457200" cy="4572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476250</xdr:colOff>
      <xdr:row>17</xdr:row>
      <xdr:rowOff>12700</xdr:rowOff>
    </xdr:from>
    <xdr:to>
      <xdr:col>2</xdr:col>
      <xdr:colOff>273050</xdr:colOff>
      <xdr:row>19</xdr:row>
      <xdr:rowOff>139700</xdr:rowOff>
    </xdr:to>
    <xdr:pic>
      <xdr:nvPicPr>
        <xdr:cNvPr id="39" name="Graphic 38" descr="Woman with solid fill">
          <a:extLst>
            <a:ext uri="{FF2B5EF4-FFF2-40B4-BE49-F238E27FC236}">
              <a16:creationId xmlns:a16="http://schemas.microsoft.com/office/drawing/2014/main" id="{208856D1-4234-35DE-42A2-0383833E4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136650" y="2673350"/>
          <a:ext cx="457200" cy="4572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25400</xdr:colOff>
      <xdr:row>8</xdr:row>
      <xdr:rowOff>63500</xdr:rowOff>
    </xdr:from>
    <xdr:to>
      <xdr:col>17</xdr:col>
      <xdr:colOff>19050</xdr:colOff>
      <xdr:row>16</xdr:row>
      <xdr:rowOff>76200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8C10687E-6A72-5512-96B6-29BBE87B5343}"/>
            </a:ext>
          </a:extLst>
        </xdr:cNvPr>
        <xdr:cNvSpPr/>
      </xdr:nvSpPr>
      <xdr:spPr>
        <a:xfrm>
          <a:off x="7905750" y="1238250"/>
          <a:ext cx="3606800" cy="1333500"/>
        </a:xfrm>
        <a:prstGeom prst="roundRect">
          <a:avLst>
            <a:gd name="adj" fmla="val 1870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12</xdr:col>
      <xdr:colOff>266700</xdr:colOff>
      <xdr:row>8</xdr:row>
      <xdr:rowOff>101600</xdr:rowOff>
    </xdr:from>
    <xdr:to>
      <xdr:col>16</xdr:col>
      <xdr:colOff>425450</xdr:colOff>
      <xdr:row>16</xdr:row>
      <xdr:rowOff>152400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B0F88D20-3DE9-4CF5-84E7-0BCBEE619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387350</xdr:colOff>
      <xdr:row>17</xdr:row>
      <xdr:rowOff>0</xdr:rowOff>
    </xdr:from>
    <xdr:to>
      <xdr:col>17</xdr:col>
      <xdr:colOff>12700</xdr:colOff>
      <xdr:row>32</xdr:row>
      <xdr:rowOff>19050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848CD1AB-6346-1A39-DCF2-E9F5B7C9AA83}"/>
            </a:ext>
          </a:extLst>
        </xdr:cNvPr>
        <xdr:cNvSpPr/>
      </xdr:nvSpPr>
      <xdr:spPr>
        <a:xfrm>
          <a:off x="7651750" y="2660650"/>
          <a:ext cx="3854450" cy="2495550"/>
        </a:xfrm>
        <a:prstGeom prst="roundRect">
          <a:avLst>
            <a:gd name="adj" fmla="val 1138"/>
          </a:avLst>
        </a:prstGeom>
        <a:solidFill>
          <a:schemeClr val="bg1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374650</xdr:colOff>
      <xdr:row>18</xdr:row>
      <xdr:rowOff>88900</xdr:rowOff>
    </xdr:from>
    <xdr:to>
      <xdr:col>17</xdr:col>
      <xdr:colOff>76200</xdr:colOff>
      <xdr:row>31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1" name="Chart 50">
              <a:extLst>
                <a:ext uri="{FF2B5EF4-FFF2-40B4-BE49-F238E27FC236}">
                  <a16:creationId xmlns:a16="http://schemas.microsoft.com/office/drawing/2014/main" id="{CD61621B-4E3D-44FA-B505-0A8CDF636C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50" y="2914650"/>
              <a:ext cx="3492500" cy="215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107950</xdr:colOff>
      <xdr:row>1</xdr:row>
      <xdr:rowOff>25400</xdr:rowOff>
    </xdr:from>
    <xdr:to>
      <xdr:col>12</xdr:col>
      <xdr:colOff>704850</xdr:colOff>
      <xdr:row>3</xdr:row>
      <xdr:rowOff>50800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08D16E36-3C59-F200-D9CF-B745F94CA533}"/>
            </a:ext>
          </a:extLst>
        </xdr:cNvPr>
        <xdr:cNvSpPr/>
      </xdr:nvSpPr>
      <xdr:spPr>
        <a:xfrm>
          <a:off x="107950" y="25400"/>
          <a:ext cx="8343900" cy="361950"/>
        </a:xfrm>
        <a:prstGeom prst="roundRect">
          <a:avLst>
            <a:gd name="adj" fmla="val 1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12</xdr:col>
      <xdr:colOff>800100</xdr:colOff>
      <xdr:row>1</xdr:row>
      <xdr:rowOff>19050</xdr:rowOff>
    </xdr:from>
    <xdr:to>
      <xdr:col>17</xdr:col>
      <xdr:colOff>57150</xdr:colOff>
      <xdr:row>2</xdr:row>
      <xdr:rowOff>114300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9EA7969B-8565-BFB2-E5F4-DCB540C4D838}"/>
            </a:ext>
          </a:extLst>
        </xdr:cNvPr>
        <xdr:cNvSpPr/>
      </xdr:nvSpPr>
      <xdr:spPr>
        <a:xfrm>
          <a:off x="8680450" y="107950"/>
          <a:ext cx="2870200" cy="260350"/>
        </a:xfrm>
        <a:prstGeom prst="roundRect">
          <a:avLst>
            <a:gd name="adj" fmla="val 1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412750</xdr:colOff>
      <xdr:row>1</xdr:row>
      <xdr:rowOff>0</xdr:rowOff>
    </xdr:from>
    <xdr:ext cx="1947264" cy="30258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71AABA9-78AD-3717-79F8-18A5EF8B5132}"/>
            </a:ext>
          </a:extLst>
        </xdr:cNvPr>
        <xdr:cNvSpPr txBox="1"/>
      </xdr:nvSpPr>
      <xdr:spPr>
        <a:xfrm>
          <a:off x="8896350" y="0"/>
          <a:ext cx="1947264" cy="302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Correlation</a:t>
          </a:r>
          <a:r>
            <a:rPr lang="en-US" sz="12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 Heatmap</a:t>
          </a:r>
          <a:endParaRPr lang="en-US" sz="12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1</xdr:col>
      <xdr:colOff>31750</xdr:colOff>
      <xdr:row>1</xdr:row>
      <xdr:rowOff>57150</xdr:rowOff>
    </xdr:from>
    <xdr:ext cx="3342710" cy="33259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CBAFF28-2B5D-478C-CB24-EADA143AE4ED}"/>
            </a:ext>
          </a:extLst>
        </xdr:cNvPr>
        <xdr:cNvSpPr txBox="1"/>
      </xdr:nvSpPr>
      <xdr:spPr>
        <a:xfrm>
          <a:off x="692150" y="57150"/>
          <a:ext cx="3342710" cy="3325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Student Performance Analysis</a:t>
          </a:r>
          <a:endParaRPr lang="en-US" sz="16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twoCellAnchor editAs="oneCell">
    <xdr:from>
      <xdr:col>0</xdr:col>
      <xdr:colOff>527050</xdr:colOff>
      <xdr:row>23</xdr:row>
      <xdr:rowOff>50800</xdr:rowOff>
    </xdr:from>
    <xdr:to>
      <xdr:col>1</xdr:col>
      <xdr:colOff>140970</xdr:colOff>
      <xdr:row>24</xdr:row>
      <xdr:rowOff>160020</xdr:rowOff>
    </xdr:to>
    <xdr:pic>
      <xdr:nvPicPr>
        <xdr:cNvPr id="63" name="Graphic 62" descr="Books with solid fill">
          <a:extLst>
            <a:ext uri="{FF2B5EF4-FFF2-40B4-BE49-F238E27FC236}">
              <a16:creationId xmlns:a16="http://schemas.microsoft.com/office/drawing/2014/main" id="{D1A68121-A3FA-7FE3-46A7-2C95119AE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27050" y="3702050"/>
          <a:ext cx="274320" cy="27432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486550</xdr:colOff>
      <xdr:row>29</xdr:row>
      <xdr:rowOff>73800</xdr:rowOff>
    </xdr:from>
    <xdr:to>
      <xdr:col>1</xdr:col>
      <xdr:colOff>100470</xdr:colOff>
      <xdr:row>31</xdr:row>
      <xdr:rowOff>17920</xdr:rowOff>
    </xdr:to>
    <xdr:pic>
      <xdr:nvPicPr>
        <xdr:cNvPr id="65" name="Graphic 64" descr="Bullseye with solid fill">
          <a:extLst>
            <a:ext uri="{FF2B5EF4-FFF2-40B4-BE49-F238E27FC236}">
              <a16:creationId xmlns:a16="http://schemas.microsoft.com/office/drawing/2014/main" id="{062364C3-BB10-8DE7-688B-4632A2BF9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86550" y="4715650"/>
          <a:ext cx="274320" cy="27432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515900</xdr:colOff>
      <xdr:row>26</xdr:row>
      <xdr:rowOff>26950</xdr:rowOff>
    </xdr:from>
    <xdr:to>
      <xdr:col>1</xdr:col>
      <xdr:colOff>129820</xdr:colOff>
      <xdr:row>27</xdr:row>
      <xdr:rowOff>136170</xdr:rowOff>
    </xdr:to>
    <xdr:pic>
      <xdr:nvPicPr>
        <xdr:cNvPr id="67" name="Graphic 66" descr="Classroom with solid fill">
          <a:extLst>
            <a:ext uri="{FF2B5EF4-FFF2-40B4-BE49-F238E27FC236}">
              <a16:creationId xmlns:a16="http://schemas.microsoft.com/office/drawing/2014/main" id="{4D6EE49D-D6B9-D8CF-1C0A-1A727ABF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15900" y="4262400"/>
          <a:ext cx="274320" cy="27432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532550</xdr:colOff>
      <xdr:row>20</xdr:row>
      <xdr:rowOff>49950</xdr:rowOff>
    </xdr:from>
    <xdr:to>
      <xdr:col>1</xdr:col>
      <xdr:colOff>146470</xdr:colOff>
      <xdr:row>21</xdr:row>
      <xdr:rowOff>159170</xdr:rowOff>
    </xdr:to>
    <xdr:pic>
      <xdr:nvPicPr>
        <xdr:cNvPr id="69" name="Graphic 68" descr="Clock with solid fill">
          <a:extLst>
            <a:ext uri="{FF2B5EF4-FFF2-40B4-BE49-F238E27FC236}">
              <a16:creationId xmlns:a16="http://schemas.microsoft.com/office/drawing/2014/main" id="{9CEBD0F5-DD4C-E754-8DCF-85CE8322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32550" y="3205900"/>
          <a:ext cx="274320" cy="27432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12</xdr:col>
      <xdr:colOff>317500</xdr:colOff>
      <xdr:row>8</xdr:row>
      <xdr:rowOff>139700</xdr:rowOff>
    </xdr:from>
    <xdr:to>
      <xdr:col>12</xdr:col>
      <xdr:colOff>774700</xdr:colOff>
      <xdr:row>11</xdr:row>
      <xdr:rowOff>101600</xdr:rowOff>
    </xdr:to>
    <xdr:pic>
      <xdr:nvPicPr>
        <xdr:cNvPr id="70" name="Graphic 69" descr="Man with solid fill">
          <a:extLst>
            <a:ext uri="{FF2B5EF4-FFF2-40B4-BE49-F238E27FC236}">
              <a16:creationId xmlns:a16="http://schemas.microsoft.com/office/drawing/2014/main" id="{BE809B6B-FD5A-A86A-3C38-366B4536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045450" y="1314450"/>
          <a:ext cx="457200" cy="4572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57150</xdr:colOff>
      <xdr:row>13</xdr:row>
      <xdr:rowOff>44450</xdr:rowOff>
    </xdr:from>
    <xdr:to>
      <xdr:col>16</xdr:col>
      <xdr:colOff>514350</xdr:colOff>
      <xdr:row>16</xdr:row>
      <xdr:rowOff>6350</xdr:rowOff>
    </xdr:to>
    <xdr:pic>
      <xdr:nvPicPr>
        <xdr:cNvPr id="71" name="Graphic 70" descr="Woman with solid fill">
          <a:extLst>
            <a:ext uri="{FF2B5EF4-FFF2-40B4-BE49-F238E27FC236}">
              <a16:creationId xmlns:a16="http://schemas.microsoft.com/office/drawing/2014/main" id="{E2B969FD-3B54-CA98-0886-945E763E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426700" y="2044700"/>
          <a:ext cx="457200" cy="4572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11</xdr:col>
      <xdr:colOff>368300</xdr:colOff>
      <xdr:row>16</xdr:row>
      <xdr:rowOff>152400</xdr:rowOff>
    </xdr:from>
    <xdr:ext cx="1454244" cy="24250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A3255C3-DFD8-9004-58A7-1D1E94C87C5A}"/>
            </a:ext>
          </a:extLst>
        </xdr:cNvPr>
        <xdr:cNvSpPr txBox="1"/>
      </xdr:nvSpPr>
      <xdr:spPr>
        <a:xfrm>
          <a:off x="7632700" y="2647950"/>
          <a:ext cx="1454244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Score Distribution</a:t>
          </a:r>
          <a:endParaRPr lang="en-US" sz="10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oneCellAnchor>
    <xdr:from>
      <xdr:col>0</xdr:col>
      <xdr:colOff>88900</xdr:colOff>
      <xdr:row>16</xdr:row>
      <xdr:rowOff>146050</xdr:rowOff>
    </xdr:from>
    <xdr:ext cx="1172116" cy="242502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C0E3B51-75F7-ED3E-8FB4-864CC943B13F}"/>
            </a:ext>
          </a:extLst>
        </xdr:cNvPr>
        <xdr:cNvSpPr txBox="1"/>
      </xdr:nvSpPr>
      <xdr:spPr>
        <a:xfrm>
          <a:off x="88900" y="2641600"/>
          <a:ext cx="1172116" cy="24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kern="1200" baseline="0">
              <a:solidFill>
                <a:schemeClr val="accent6">
                  <a:lumMod val="50000"/>
                </a:schemeClr>
              </a:solidFill>
              <a:latin typeface="Consolas" panose="020B0609020204030204" pitchFamily="49" charset="0"/>
            </a:rPr>
            <a:t>Gender Average</a:t>
          </a:r>
          <a:endParaRPr lang="en-US" sz="1000" b="1" kern="1200">
            <a:solidFill>
              <a:schemeClr val="accent6">
                <a:lumMod val="50000"/>
              </a:schemeClr>
            </a:solidFill>
            <a:latin typeface="Consolas" panose="020B0609020204030204" pitchFamily="49" charset="0"/>
          </a:endParaRPr>
        </a:p>
      </xdr:txBody>
    </xdr:sp>
    <xdr:clientData/>
  </xdr:oneCellAnchor>
  <xdr:twoCellAnchor editAs="oneCell">
    <xdr:from>
      <xdr:col>7</xdr:col>
      <xdr:colOff>285750</xdr:colOff>
      <xdr:row>3</xdr:row>
      <xdr:rowOff>107950</xdr:rowOff>
    </xdr:from>
    <xdr:to>
      <xdr:col>7</xdr:col>
      <xdr:colOff>603250</xdr:colOff>
      <xdr:row>5</xdr:row>
      <xdr:rowOff>88900</xdr:rowOff>
    </xdr:to>
    <xdr:pic>
      <xdr:nvPicPr>
        <xdr:cNvPr id="75" name="Graphic 74" descr="Bar graph with downward trend with solid fill">
          <a:extLst>
            <a:ext uri="{FF2B5EF4-FFF2-40B4-BE49-F238E27FC236}">
              <a16:creationId xmlns:a16="http://schemas.microsoft.com/office/drawing/2014/main" id="{0B982F5F-C21D-AD5D-FC48-35BEA44D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908550" y="444500"/>
          <a:ext cx="317500" cy="31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3</xdr:row>
      <xdr:rowOff>107950</xdr:rowOff>
    </xdr:from>
    <xdr:to>
      <xdr:col>11</xdr:col>
      <xdr:colOff>543700</xdr:colOff>
      <xdr:row>5</xdr:row>
      <xdr:rowOff>105550</xdr:rowOff>
    </xdr:to>
    <xdr:pic>
      <xdr:nvPicPr>
        <xdr:cNvPr id="77" name="Graphic 76" descr="Bar graph with upward trend with solid fill">
          <a:extLst>
            <a:ext uri="{FF2B5EF4-FFF2-40B4-BE49-F238E27FC236}">
              <a16:creationId xmlns:a16="http://schemas.microsoft.com/office/drawing/2014/main" id="{E01E0B23-7BCF-643B-2A44-61FD71AE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473950" y="444500"/>
          <a:ext cx="334150" cy="3341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17</xdr:row>
      <xdr:rowOff>0</xdr:rowOff>
    </xdr:from>
    <xdr:to>
      <xdr:col>11</xdr:col>
      <xdr:colOff>306350</xdr:colOff>
      <xdr:row>18</xdr:row>
      <xdr:rowOff>103150</xdr:rowOff>
    </xdr:to>
    <xdr:pic>
      <xdr:nvPicPr>
        <xdr:cNvPr id="79" name="Graphic 78" descr="Business Growth with solid fill">
          <a:extLst>
            <a:ext uri="{FF2B5EF4-FFF2-40B4-BE49-F238E27FC236}">
              <a16:creationId xmlns:a16="http://schemas.microsoft.com/office/drawing/2014/main" id="{0BB120AF-4EB0-4C0E-69A4-6FD80B8E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7302500" y="2660650"/>
          <a:ext cx="268250" cy="268250"/>
        </a:xfrm>
        <a:prstGeom prst="rect">
          <a:avLst/>
        </a:prstGeom>
      </xdr:spPr>
    </xdr:pic>
    <xdr:clientData/>
  </xdr:twoCellAnchor>
  <xdr:twoCellAnchor editAs="oneCell">
    <xdr:from>
      <xdr:col>6</xdr:col>
      <xdr:colOff>641350</xdr:colOff>
      <xdr:row>17</xdr:row>
      <xdr:rowOff>0</xdr:rowOff>
    </xdr:from>
    <xdr:to>
      <xdr:col>7</xdr:col>
      <xdr:colOff>297600</xdr:colOff>
      <xdr:row>18</xdr:row>
      <xdr:rowOff>151550</xdr:rowOff>
    </xdr:to>
    <xdr:pic>
      <xdr:nvPicPr>
        <xdr:cNvPr id="81" name="Graphic 80" descr="Business Growth with solid fill">
          <a:extLst>
            <a:ext uri="{FF2B5EF4-FFF2-40B4-BE49-F238E27FC236}">
              <a16:creationId xmlns:a16="http://schemas.microsoft.com/office/drawing/2014/main" id="{C1FDF244-288A-A391-43A2-000F4C5E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603750" y="2660650"/>
          <a:ext cx="316650" cy="31665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</xdr:row>
      <xdr:rowOff>0</xdr:rowOff>
    </xdr:from>
    <xdr:to>
      <xdr:col>1</xdr:col>
      <xdr:colOff>60250</xdr:colOff>
      <xdr:row>3</xdr:row>
      <xdr:rowOff>136450</xdr:rowOff>
    </xdr:to>
    <xdr:pic>
      <xdr:nvPicPr>
        <xdr:cNvPr id="83" name="Graphic 82" descr="Group with solid fill">
          <a:extLst>
            <a:ext uri="{FF2B5EF4-FFF2-40B4-BE49-F238E27FC236}">
              <a16:creationId xmlns:a16="http://schemas.microsoft.com/office/drawing/2014/main" id="{2CBCB429-6A5C-BE8D-C447-94F33D9BE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247650" y="0"/>
          <a:ext cx="473000" cy="473000"/>
        </a:xfrm>
        <a:prstGeom prst="rect">
          <a:avLst/>
        </a:prstGeom>
      </xdr:spPr>
    </xdr:pic>
    <xdr:clientData/>
  </xdr:twoCellAnchor>
  <xdr:twoCellAnchor editAs="oneCell">
    <xdr:from>
      <xdr:col>16</xdr:col>
      <xdr:colOff>501650</xdr:colOff>
      <xdr:row>16</xdr:row>
      <xdr:rowOff>152400</xdr:rowOff>
    </xdr:from>
    <xdr:to>
      <xdr:col>16</xdr:col>
      <xdr:colOff>813500</xdr:colOff>
      <xdr:row>18</xdr:row>
      <xdr:rowOff>134050</xdr:rowOff>
    </xdr:to>
    <xdr:pic>
      <xdr:nvPicPr>
        <xdr:cNvPr id="85" name="Graphic 84" descr="Group brainstorm with solid fill">
          <a:extLst>
            <a:ext uri="{FF2B5EF4-FFF2-40B4-BE49-F238E27FC236}">
              <a16:creationId xmlns:a16="http://schemas.microsoft.com/office/drawing/2014/main" id="{C5E16466-C123-B5AF-3E80-72E884611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10871200" y="2647950"/>
          <a:ext cx="311850" cy="311850"/>
        </a:xfrm>
        <a:prstGeom prst="rect">
          <a:avLst/>
        </a:prstGeom>
      </xdr:spPr>
    </xdr:pic>
    <xdr:clientData/>
  </xdr:twoCellAnchor>
  <xdr:twoCellAnchor editAs="oneCell">
    <xdr:from>
      <xdr:col>6</xdr:col>
      <xdr:colOff>154401</xdr:colOff>
      <xdr:row>1</xdr:row>
      <xdr:rowOff>66691</xdr:rowOff>
    </xdr:from>
    <xdr:to>
      <xdr:col>6</xdr:col>
      <xdr:colOff>483213</xdr:colOff>
      <xdr:row>3</xdr:row>
      <xdr:rowOff>58953</xdr:rowOff>
    </xdr:to>
    <xdr:pic>
      <xdr:nvPicPr>
        <xdr:cNvPr id="87" name="Graphic 86" descr="Lightbulb and gear with solid fill">
          <a:extLst>
            <a:ext uri="{FF2B5EF4-FFF2-40B4-BE49-F238E27FC236}">
              <a16:creationId xmlns:a16="http://schemas.microsoft.com/office/drawing/2014/main" id="{49ED4A04-58FB-72C3-0A07-FC0825599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 rot="2321376">
          <a:off x="4116801" y="66691"/>
          <a:ext cx="328812" cy="328812"/>
        </a:xfrm>
        <a:prstGeom prst="rect">
          <a:avLst/>
        </a:prstGeom>
      </xdr:spPr>
    </xdr:pic>
    <xdr:clientData/>
  </xdr:twoCellAnchor>
  <xdr:twoCellAnchor editAs="oneCell">
    <xdr:from>
      <xdr:col>1</xdr:col>
      <xdr:colOff>546100</xdr:colOff>
      <xdr:row>3</xdr:row>
      <xdr:rowOff>146050</xdr:rowOff>
    </xdr:from>
    <xdr:to>
      <xdr:col>2</xdr:col>
      <xdr:colOff>135600</xdr:colOff>
      <xdr:row>5</xdr:row>
      <xdr:rowOff>59400</xdr:rowOff>
    </xdr:to>
    <xdr:pic>
      <xdr:nvPicPr>
        <xdr:cNvPr id="89" name="Graphic 88" descr="Target with solid fill">
          <a:extLst>
            <a:ext uri="{FF2B5EF4-FFF2-40B4-BE49-F238E27FC236}">
              <a16:creationId xmlns:a16="http://schemas.microsoft.com/office/drawing/2014/main" id="{18ADE6CF-D6B2-DABE-ECBA-4E6262B0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1206500" y="482600"/>
          <a:ext cx="249900" cy="249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cqmann" refreshedDate="46042.706412037034" createdVersion="8" refreshedVersion="8" minRefreshableVersion="3" recordCount="50" xr:uid="{4E014C96-98D7-48C2-B8D2-4F797C128E6B}">
  <cacheSource type="worksheet">
    <worksheetSource ref="B2:H52" sheet="student_performance_analysis"/>
  </cacheSource>
  <cacheFields count="7">
    <cacheField name="Student I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Gender " numFmtId="0">
      <sharedItems count="2">
        <s v="Female"/>
        <s v="Male"/>
      </sharedItems>
    </cacheField>
    <cacheField name="Hours Studied " numFmtId="0">
      <sharedItems containsSemiMixedTypes="0" containsString="0" containsNumber="1" minValue="5" maxValue="16.7"/>
    </cacheField>
    <cacheField name="Attendance " numFmtId="0">
      <sharedItems containsSemiMixedTypes="0" containsString="0" containsNumber="1" containsInteger="1" minValue="60" maxValue="99"/>
    </cacheField>
    <cacheField name="Assignment completed " numFmtId="0">
      <sharedItems containsSemiMixedTypes="0" containsString="0" containsNumber="1" containsInteger="1" minValue="5" maxValue="14"/>
    </cacheField>
    <cacheField name="Actual Score " numFmtId="0">
      <sharedItems containsSemiMixedTypes="0" containsString="0" containsNumber="1" minValue="50" maxValue="94.1"/>
    </cacheField>
    <cacheField name="Predicted Score" numFmtId="1">
      <sharedItems containsSemiMixedTypes="0" containsString="0" containsNumber="1" minValue="68.136932831051752" maxValue="83.7808768625340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6.3"/>
    <n v="61"/>
    <n v="6"/>
    <n v="50.9"/>
    <n v="69.063496014261204"/>
  </r>
  <r>
    <x v="1"/>
    <x v="1"/>
    <n v="7.6"/>
    <n v="62"/>
    <n v="7"/>
    <n v="51.8"/>
    <n v="69.990059197470643"/>
  </r>
  <r>
    <x v="2"/>
    <x v="0"/>
    <n v="8.9"/>
    <n v="63"/>
    <n v="8"/>
    <n v="52.7"/>
    <n v="70.916622380680082"/>
  </r>
  <r>
    <x v="3"/>
    <x v="1"/>
    <n v="10.199999999999999"/>
    <n v="64"/>
    <n v="9"/>
    <n v="53.6"/>
    <n v="71.843185563889534"/>
  </r>
  <r>
    <x v="4"/>
    <x v="0"/>
    <n v="11.5"/>
    <n v="65"/>
    <n v="10"/>
    <n v="54.5"/>
    <n v="72.769748747098973"/>
  </r>
  <r>
    <x v="5"/>
    <x v="1"/>
    <n v="12.8"/>
    <n v="66"/>
    <n v="11"/>
    <n v="55.4"/>
    <n v="73.696311930308426"/>
  </r>
  <r>
    <x v="6"/>
    <x v="0"/>
    <n v="14.1"/>
    <n v="67"/>
    <n v="12"/>
    <n v="56.3"/>
    <n v="74.622875113517864"/>
  </r>
  <r>
    <x v="7"/>
    <x v="1"/>
    <n v="15.4"/>
    <n v="68"/>
    <n v="13"/>
    <n v="57.2"/>
    <n v="75.549438296727317"/>
  </r>
  <r>
    <x v="8"/>
    <x v="0"/>
    <n v="16.7"/>
    <n v="69"/>
    <n v="14"/>
    <n v="58.1"/>
    <n v="76.476001479936755"/>
  </r>
  <r>
    <x v="9"/>
    <x v="1"/>
    <n v="5"/>
    <n v="70"/>
    <n v="5"/>
    <n v="59"/>
    <n v="70.571891291917524"/>
  </r>
  <r>
    <x v="10"/>
    <x v="0"/>
    <n v="6.3"/>
    <n v="71"/>
    <n v="6"/>
    <n v="59.9"/>
    <n v="71.498454475126962"/>
  </r>
  <r>
    <x v="11"/>
    <x v="1"/>
    <n v="7.6"/>
    <n v="72"/>
    <n v="7"/>
    <n v="60.8"/>
    <n v="72.425017658336401"/>
  </r>
  <r>
    <x v="12"/>
    <x v="0"/>
    <n v="8.9"/>
    <n v="73"/>
    <n v="8"/>
    <n v="61.7"/>
    <n v="73.351580841545854"/>
  </r>
  <r>
    <x v="13"/>
    <x v="1"/>
    <n v="10.199999999999999"/>
    <n v="74"/>
    <n v="9"/>
    <n v="62.6"/>
    <n v="74.278144024755306"/>
  </r>
  <r>
    <x v="14"/>
    <x v="0"/>
    <n v="11.5"/>
    <n v="75"/>
    <n v="10"/>
    <n v="63.5"/>
    <n v="75.204707207964731"/>
  </r>
  <r>
    <x v="15"/>
    <x v="1"/>
    <n v="12.8"/>
    <n v="76"/>
    <n v="11"/>
    <n v="64.400000000000006"/>
    <n v="76.131270391174183"/>
  </r>
  <r>
    <x v="16"/>
    <x v="0"/>
    <n v="14.1"/>
    <n v="77"/>
    <n v="12"/>
    <n v="65.3"/>
    <n v="77.057833574383622"/>
  </r>
  <r>
    <x v="17"/>
    <x v="1"/>
    <n v="15.4"/>
    <n v="78"/>
    <n v="13"/>
    <n v="66.2"/>
    <n v="77.984396757593075"/>
  </r>
  <r>
    <x v="18"/>
    <x v="0"/>
    <n v="16.7"/>
    <n v="79"/>
    <n v="14"/>
    <n v="67.099999999999994"/>
    <n v="78.910959940802513"/>
  </r>
  <r>
    <x v="19"/>
    <x v="1"/>
    <n v="5"/>
    <n v="80"/>
    <n v="5"/>
    <n v="68"/>
    <n v="73.006849752783282"/>
  </r>
  <r>
    <x v="20"/>
    <x v="0"/>
    <n v="6.3"/>
    <n v="81"/>
    <n v="6"/>
    <n v="68.900000000000006"/>
    <n v="73.93341293599272"/>
  </r>
  <r>
    <x v="21"/>
    <x v="1"/>
    <n v="7.6"/>
    <n v="82"/>
    <n v="7"/>
    <n v="69.8"/>
    <n v="74.859976119202173"/>
  </r>
  <r>
    <x v="22"/>
    <x v="0"/>
    <n v="8.9"/>
    <n v="83"/>
    <n v="8"/>
    <n v="70.7"/>
    <n v="75.786539302411612"/>
  </r>
  <r>
    <x v="23"/>
    <x v="1"/>
    <n v="10.199999999999999"/>
    <n v="84"/>
    <n v="9"/>
    <n v="71.599999999999994"/>
    <n v="76.713102485621064"/>
  </r>
  <r>
    <x v="24"/>
    <x v="0"/>
    <n v="11.5"/>
    <n v="85"/>
    <n v="10"/>
    <n v="72.5"/>
    <n v="77.639665668830503"/>
  </r>
  <r>
    <x v="25"/>
    <x v="1"/>
    <n v="12.8"/>
    <n v="86"/>
    <n v="11"/>
    <n v="73.400000000000006"/>
    <n v="78.566228852039956"/>
  </r>
  <r>
    <x v="26"/>
    <x v="0"/>
    <n v="14.1"/>
    <n v="87"/>
    <n v="12"/>
    <n v="74.3"/>
    <n v="79.49279203524938"/>
  </r>
  <r>
    <x v="27"/>
    <x v="1"/>
    <n v="15.4"/>
    <n v="88"/>
    <n v="13"/>
    <n v="75.2"/>
    <n v="80.419355218458833"/>
  </r>
  <r>
    <x v="28"/>
    <x v="0"/>
    <n v="16.7"/>
    <n v="89"/>
    <n v="14"/>
    <n v="76.099999999999994"/>
    <n v="81.345918401668271"/>
  </r>
  <r>
    <x v="29"/>
    <x v="1"/>
    <n v="5"/>
    <n v="90"/>
    <n v="5"/>
    <n v="77"/>
    <n v="75.44180821364904"/>
  </r>
  <r>
    <x v="30"/>
    <x v="0"/>
    <n v="6.3"/>
    <n v="91"/>
    <n v="6"/>
    <n v="77.900000000000006"/>
    <n v="76.368371396858493"/>
  </r>
  <r>
    <x v="31"/>
    <x v="1"/>
    <n v="7.6"/>
    <n v="92"/>
    <n v="7"/>
    <n v="78.8"/>
    <n v="77.294934580067931"/>
  </r>
  <r>
    <x v="32"/>
    <x v="0"/>
    <n v="8.9"/>
    <n v="93"/>
    <n v="8"/>
    <n v="79.7"/>
    <n v="78.22149776327737"/>
  </r>
  <r>
    <x v="33"/>
    <x v="1"/>
    <n v="10.199999999999999"/>
    <n v="94"/>
    <n v="9"/>
    <n v="80.599999999999994"/>
    <n v="79.148060946486822"/>
  </r>
  <r>
    <x v="34"/>
    <x v="0"/>
    <n v="11.5"/>
    <n v="95"/>
    <n v="10"/>
    <n v="81.5"/>
    <n v="80.074624129696261"/>
  </r>
  <r>
    <x v="35"/>
    <x v="1"/>
    <n v="12.8"/>
    <n v="96"/>
    <n v="11"/>
    <n v="82.4"/>
    <n v="81.001187312905714"/>
  </r>
  <r>
    <x v="36"/>
    <x v="0"/>
    <n v="14.1"/>
    <n v="97"/>
    <n v="12"/>
    <n v="83.3"/>
    <n v="81.927750496115152"/>
  </r>
  <r>
    <x v="37"/>
    <x v="1"/>
    <n v="15.4"/>
    <n v="98"/>
    <n v="13"/>
    <n v="84.2"/>
    <n v="82.854313679324605"/>
  </r>
  <r>
    <x v="38"/>
    <x v="0"/>
    <n v="16.7"/>
    <n v="99"/>
    <n v="14"/>
    <n v="85.1"/>
    <n v="83.780876862534029"/>
  </r>
  <r>
    <x v="39"/>
    <x v="1"/>
    <n v="5"/>
    <n v="60"/>
    <n v="5"/>
    <n v="86"/>
    <n v="68.136932831051752"/>
  </r>
  <r>
    <x v="40"/>
    <x v="0"/>
    <n v="6.3"/>
    <n v="61"/>
    <n v="6"/>
    <n v="86.9"/>
    <n v="69.063496014261204"/>
  </r>
  <r>
    <x v="41"/>
    <x v="1"/>
    <n v="7.6"/>
    <n v="62"/>
    <n v="7"/>
    <n v="87.8"/>
    <n v="69.990059197470643"/>
  </r>
  <r>
    <x v="42"/>
    <x v="0"/>
    <n v="8.9"/>
    <n v="63"/>
    <n v="8"/>
    <n v="88.7"/>
    <n v="70.916622380680082"/>
  </r>
  <r>
    <x v="43"/>
    <x v="1"/>
    <n v="10.199999999999999"/>
    <n v="64"/>
    <n v="9"/>
    <n v="89.6"/>
    <n v="71.843185563889534"/>
  </r>
  <r>
    <x v="44"/>
    <x v="0"/>
    <n v="11.5"/>
    <n v="65"/>
    <n v="10"/>
    <n v="90.5"/>
    <n v="72.769748747098973"/>
  </r>
  <r>
    <x v="45"/>
    <x v="1"/>
    <n v="12.8"/>
    <n v="66"/>
    <n v="11"/>
    <n v="91.4"/>
    <n v="73.696311930308426"/>
  </r>
  <r>
    <x v="46"/>
    <x v="0"/>
    <n v="14.1"/>
    <n v="67"/>
    <n v="12"/>
    <n v="92.3"/>
    <n v="74.622875113517864"/>
  </r>
  <r>
    <x v="47"/>
    <x v="1"/>
    <n v="15.4"/>
    <n v="68"/>
    <n v="13"/>
    <n v="93.2"/>
    <n v="75.549438296727317"/>
  </r>
  <r>
    <x v="48"/>
    <x v="0"/>
    <n v="16.7"/>
    <n v="69"/>
    <n v="14"/>
    <n v="94.1"/>
    <n v="76.476001479936755"/>
  </r>
  <r>
    <x v="49"/>
    <x v="1"/>
    <n v="5"/>
    <n v="70"/>
    <n v="5"/>
    <n v="50"/>
    <n v="70.5718912919175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9574F-BCAF-4994-8173-0EC2DCFF28AF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T18:U21" firstHeaderRow="1" firstDataRow="1" firstDataCol="1"/>
  <pivotFields count="7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tudent ID" fld="0" subtotal="count" baseField="1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05999-0CC0-474F-A7A3-3603B503518A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8:L41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ctual Score 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ECD4-B0A7-44FF-9C8F-320AEBCFFCE4}">
  <dimension ref="B1:AD59"/>
  <sheetViews>
    <sheetView topLeftCell="U28" workbookViewId="0">
      <selection activeCell="AD45" sqref="AD45"/>
    </sheetView>
  </sheetViews>
  <sheetFormatPr defaultRowHeight="13" x14ac:dyDescent="0.3"/>
  <cols>
    <col min="4" max="4" width="11.58203125" bestFit="1" customWidth="1"/>
    <col min="5" max="5" width="9.83203125" bestFit="1" customWidth="1"/>
    <col min="6" max="6" width="18.1640625" bestFit="1" customWidth="1"/>
    <col min="7" max="7" width="11.1640625" bestFit="1" customWidth="1"/>
    <col min="8" max="8" width="13.4140625" bestFit="1" customWidth="1"/>
    <col min="9" max="9" width="2.75" customWidth="1"/>
    <col min="10" max="10" width="20.4140625" bestFit="1" customWidth="1"/>
    <col min="11" max="11" width="11.83203125" bestFit="1" customWidth="1"/>
    <col min="12" max="12" width="20.25" bestFit="1" customWidth="1"/>
    <col min="13" max="18" width="11.75" customWidth="1"/>
    <col min="19" max="19" width="11.75" bestFit="1" customWidth="1"/>
    <col min="20" max="20" width="11.83203125" bestFit="1" customWidth="1"/>
    <col min="21" max="21" width="27.83203125" bestFit="1" customWidth="1"/>
    <col min="22" max="22" width="11.75" bestFit="1" customWidth="1"/>
    <col min="23" max="23" width="12.08203125" bestFit="1" customWidth="1"/>
    <col min="24" max="24" width="9.1640625" bestFit="1" customWidth="1"/>
    <col min="26" max="26" width="11.25" bestFit="1" customWidth="1"/>
    <col min="27" max="27" width="27" style="13" bestFit="1" customWidth="1"/>
    <col min="28" max="28" width="12.33203125" bestFit="1" customWidth="1"/>
    <col min="29" max="29" width="11.75" bestFit="1" customWidth="1"/>
    <col min="30" max="30" width="17.33203125" style="13" bestFit="1" customWidth="1"/>
  </cols>
  <sheetData>
    <row r="1" spans="2:30" ht="13.5" thickBot="1" x14ac:dyDescent="0.35"/>
    <row r="2" spans="2:30" x14ac:dyDescent="0.3">
      <c r="B2" s="17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69</v>
      </c>
      <c r="H2" s="32" t="s">
        <v>70</v>
      </c>
      <c r="T2" s="2" t="s">
        <v>5</v>
      </c>
      <c r="U2" s="3" t="s">
        <v>6</v>
      </c>
      <c r="W2" s="2" t="s">
        <v>7</v>
      </c>
      <c r="X2" s="3" t="s">
        <v>6</v>
      </c>
      <c r="AC2" s="2" t="s">
        <v>8</v>
      </c>
      <c r="AD2" s="14" t="s">
        <v>9</v>
      </c>
    </row>
    <row r="3" spans="2:30" x14ac:dyDescent="0.3">
      <c r="B3" s="4">
        <v>1</v>
      </c>
      <c r="C3" s="1" t="s">
        <v>10</v>
      </c>
      <c r="D3" s="1">
        <v>6.3</v>
      </c>
      <c r="E3" s="1">
        <v>61</v>
      </c>
      <c r="F3" s="1">
        <v>6</v>
      </c>
      <c r="G3" s="1">
        <v>50.9</v>
      </c>
      <c r="H3" s="15">
        <f>($G$3+($V$51*D3)+(E3*$V$52)+($V$53*F3))</f>
        <v>69.063496014261204</v>
      </c>
      <c r="J3">
        <f>COUNTIF(C3:C52,C45)</f>
        <v>25</v>
      </c>
      <c r="T3" s="4" t="s">
        <v>11</v>
      </c>
      <c r="U3" s="5">
        <v>10</v>
      </c>
      <c r="W3" s="4" t="s">
        <v>12</v>
      </c>
      <c r="X3" s="5">
        <v>14</v>
      </c>
      <c r="AC3" s="4" t="s">
        <v>10</v>
      </c>
      <c r="AD3" s="15">
        <v>16.7</v>
      </c>
    </row>
    <row r="4" spans="2:30" x14ac:dyDescent="0.3">
      <c r="B4" s="4">
        <v>2</v>
      </c>
      <c r="C4" s="1" t="s">
        <v>13</v>
      </c>
      <c r="D4" s="1">
        <v>7.6</v>
      </c>
      <c r="E4" s="1">
        <v>62</v>
      </c>
      <c r="F4" s="1">
        <v>7</v>
      </c>
      <c r="G4" s="1">
        <v>51.8</v>
      </c>
      <c r="H4" s="15">
        <f>($G$3+($V$51*D4)+(E4*$V$52)+($V$53*F4))</f>
        <v>69.990059197470643</v>
      </c>
      <c r="J4">
        <f>COUNTIF(C3:C52,C4)</f>
        <v>25</v>
      </c>
      <c r="T4" s="4" t="s">
        <v>54</v>
      </c>
      <c r="U4" s="5">
        <v>10</v>
      </c>
      <c r="W4" s="4" t="s">
        <v>15</v>
      </c>
      <c r="X4" s="5">
        <v>11</v>
      </c>
      <c r="AC4" s="4" t="s">
        <v>13</v>
      </c>
      <c r="AD4" s="15">
        <v>15.4</v>
      </c>
    </row>
    <row r="5" spans="2:30" ht="13.5" thickBot="1" x14ac:dyDescent="0.35">
      <c r="B5" s="4">
        <v>3</v>
      </c>
      <c r="C5" s="1" t="s">
        <v>10</v>
      </c>
      <c r="D5" s="1">
        <v>8.9</v>
      </c>
      <c r="E5" s="1">
        <v>63</v>
      </c>
      <c r="F5" s="1">
        <v>8</v>
      </c>
      <c r="G5" s="1">
        <v>52.7</v>
      </c>
      <c r="H5" s="15">
        <f>($G$3+($V$51*D5)+(E5*$V$52)+($V$53*F5))</f>
        <v>70.916622380680082</v>
      </c>
      <c r="T5" s="4" t="s">
        <v>16</v>
      </c>
      <c r="U5" s="5">
        <v>5</v>
      </c>
      <c r="W5" s="4" t="s">
        <v>17</v>
      </c>
      <c r="X5" s="5">
        <v>11</v>
      </c>
      <c r="AC5" s="6" t="s">
        <v>18</v>
      </c>
      <c r="AD5" s="16">
        <v>16.7</v>
      </c>
    </row>
    <row r="6" spans="2:30" ht="13.5" thickBot="1" x14ac:dyDescent="0.35">
      <c r="B6" s="4">
        <v>4</v>
      </c>
      <c r="C6" s="1" t="s">
        <v>13</v>
      </c>
      <c r="D6" s="1">
        <v>10.199999999999999</v>
      </c>
      <c r="E6" s="1">
        <v>64</v>
      </c>
      <c r="F6" s="1">
        <v>9</v>
      </c>
      <c r="G6" s="1">
        <v>53.6</v>
      </c>
      <c r="H6" s="15">
        <f>($G$3+($V$51*D6)+(E6*$V$52)+($V$53*F6))</f>
        <v>71.843185563889534</v>
      </c>
      <c r="T6" s="4" t="s">
        <v>19</v>
      </c>
      <c r="U6" s="5">
        <v>10</v>
      </c>
      <c r="W6" s="4" t="s">
        <v>20</v>
      </c>
      <c r="X6" s="5">
        <v>11</v>
      </c>
    </row>
    <row r="7" spans="2:30" ht="13.5" thickBot="1" x14ac:dyDescent="0.35">
      <c r="B7" s="4">
        <v>5</v>
      </c>
      <c r="C7" s="1" t="s">
        <v>10</v>
      </c>
      <c r="D7" s="1">
        <v>11.5</v>
      </c>
      <c r="E7" s="1">
        <v>65</v>
      </c>
      <c r="F7" s="1">
        <v>10</v>
      </c>
      <c r="G7" s="1">
        <v>54.5</v>
      </c>
      <c r="H7" s="15">
        <f t="shared" ref="H7" si="0">($G$3+($V$51*D7)+(E7*$V$52)+($V$53*F7))</f>
        <v>72.769748747098973</v>
      </c>
      <c r="T7" s="4" t="s">
        <v>21</v>
      </c>
      <c r="U7" s="5">
        <v>5</v>
      </c>
      <c r="W7" s="6" t="s">
        <v>22</v>
      </c>
      <c r="X7" s="7">
        <v>3</v>
      </c>
      <c r="AC7" s="2" t="s">
        <v>8</v>
      </c>
      <c r="AD7" s="14" t="s">
        <v>23</v>
      </c>
    </row>
    <row r="8" spans="2:30" ht="13.5" thickBot="1" x14ac:dyDescent="0.35">
      <c r="B8" s="4">
        <v>6</v>
      </c>
      <c r="C8" s="1" t="s">
        <v>13</v>
      </c>
      <c r="D8" s="1">
        <v>12.8</v>
      </c>
      <c r="E8" s="1">
        <v>66</v>
      </c>
      <c r="F8" s="1">
        <v>11</v>
      </c>
      <c r="G8" s="1">
        <v>55.4</v>
      </c>
      <c r="H8" s="15">
        <f t="shared" ref="H8:H52" si="1">($G$3+($V$51*D8)+(E8*$V$52)+($V$53*F8))</f>
        <v>73.696311930308426</v>
      </c>
      <c r="T8" s="6" t="s">
        <v>24</v>
      </c>
      <c r="U8" s="7">
        <v>10</v>
      </c>
      <c r="AC8" s="4" t="s">
        <v>10</v>
      </c>
      <c r="AD8" s="15">
        <v>99</v>
      </c>
    </row>
    <row r="9" spans="2:30" ht="13.5" thickBot="1" x14ac:dyDescent="0.35">
      <c r="B9" s="4">
        <v>7</v>
      </c>
      <c r="C9" s="1" t="s">
        <v>10</v>
      </c>
      <c r="D9" s="1">
        <v>14.1</v>
      </c>
      <c r="E9" s="1">
        <v>67</v>
      </c>
      <c r="F9" s="1">
        <v>12</v>
      </c>
      <c r="G9" s="1">
        <v>56.3</v>
      </c>
      <c r="H9" s="15">
        <f t="shared" si="1"/>
        <v>74.622875113517864</v>
      </c>
      <c r="AC9" s="4" t="s">
        <v>13</v>
      </c>
      <c r="AD9" s="15">
        <v>98</v>
      </c>
    </row>
    <row r="10" spans="2:30" ht="13.5" thickBot="1" x14ac:dyDescent="0.35">
      <c r="B10" s="4">
        <v>8</v>
      </c>
      <c r="C10" s="1" t="s">
        <v>13</v>
      </c>
      <c r="D10" s="1">
        <v>15.4</v>
      </c>
      <c r="E10" s="1">
        <v>68</v>
      </c>
      <c r="F10" s="1">
        <v>13</v>
      </c>
      <c r="G10" s="1">
        <v>57.2</v>
      </c>
      <c r="H10" s="15">
        <f t="shared" si="1"/>
        <v>75.549438296727317</v>
      </c>
      <c r="T10" s="2" t="s">
        <v>25</v>
      </c>
      <c r="U10" s="3" t="s">
        <v>26</v>
      </c>
      <c r="W10" s="2" t="s">
        <v>27</v>
      </c>
      <c r="X10" s="3" t="s">
        <v>6</v>
      </c>
      <c r="AC10" s="6" t="s">
        <v>18</v>
      </c>
      <c r="AD10" s="16">
        <v>99</v>
      </c>
    </row>
    <row r="11" spans="2:30" ht="13.5" thickBot="1" x14ac:dyDescent="0.35">
      <c r="B11" s="4">
        <v>9</v>
      </c>
      <c r="C11" s="1" t="s">
        <v>10</v>
      </c>
      <c r="D11" s="1">
        <v>16.7</v>
      </c>
      <c r="E11" s="1">
        <v>69</v>
      </c>
      <c r="F11" s="1">
        <v>14</v>
      </c>
      <c r="G11" s="1">
        <v>58.1</v>
      </c>
      <c r="H11" s="15">
        <f t="shared" si="1"/>
        <v>76.476001479936755</v>
      </c>
      <c r="T11" s="4" t="s">
        <v>28</v>
      </c>
      <c r="U11" s="5">
        <v>21</v>
      </c>
      <c r="W11" s="4" t="s">
        <v>29</v>
      </c>
      <c r="X11" s="5">
        <v>15</v>
      </c>
    </row>
    <row r="12" spans="2:30" x14ac:dyDescent="0.3">
      <c r="B12" s="4">
        <v>10</v>
      </c>
      <c r="C12" s="1" t="s">
        <v>13</v>
      </c>
      <c r="D12" s="1">
        <v>5</v>
      </c>
      <c r="E12" s="1">
        <v>70</v>
      </c>
      <c r="F12" s="1">
        <v>5</v>
      </c>
      <c r="G12" s="1">
        <v>59</v>
      </c>
      <c r="H12" s="15">
        <f t="shared" si="1"/>
        <v>70.571891291917524</v>
      </c>
      <c r="T12" s="4" t="s">
        <v>17</v>
      </c>
      <c r="U12" s="5">
        <v>10</v>
      </c>
      <c r="W12" s="4" t="s">
        <v>14</v>
      </c>
      <c r="X12" s="5">
        <v>10</v>
      </c>
      <c r="AC12" s="2" t="s">
        <v>8</v>
      </c>
      <c r="AD12" s="14" t="s">
        <v>30</v>
      </c>
    </row>
    <row r="13" spans="2:30" x14ac:dyDescent="0.3">
      <c r="B13" s="4">
        <v>11</v>
      </c>
      <c r="C13" s="1" t="s">
        <v>10</v>
      </c>
      <c r="D13" s="1">
        <v>6.3</v>
      </c>
      <c r="E13" s="1">
        <v>71</v>
      </c>
      <c r="F13" s="1">
        <v>6</v>
      </c>
      <c r="G13" s="1">
        <v>59.9</v>
      </c>
      <c r="H13" s="15">
        <f t="shared" si="1"/>
        <v>71.498454475126962</v>
      </c>
      <c r="T13" s="4" t="s">
        <v>20</v>
      </c>
      <c r="U13" s="5">
        <v>10</v>
      </c>
      <c r="W13" s="4" t="s">
        <v>16</v>
      </c>
      <c r="X13" s="5">
        <v>10</v>
      </c>
      <c r="AC13" s="4" t="s">
        <v>10</v>
      </c>
      <c r="AD13" s="15">
        <v>61</v>
      </c>
    </row>
    <row r="14" spans="2:30" ht="13.5" thickBot="1" x14ac:dyDescent="0.35">
      <c r="B14" s="4">
        <v>12</v>
      </c>
      <c r="C14" s="1" t="s">
        <v>13</v>
      </c>
      <c r="D14" s="1">
        <v>7.6</v>
      </c>
      <c r="E14" s="1">
        <v>72</v>
      </c>
      <c r="F14" s="1">
        <v>7</v>
      </c>
      <c r="G14" s="1">
        <v>60.8</v>
      </c>
      <c r="H14" s="15">
        <f t="shared" si="1"/>
        <v>72.425017658336401</v>
      </c>
      <c r="T14" s="6" t="s">
        <v>22</v>
      </c>
      <c r="U14" s="7">
        <v>9</v>
      </c>
      <c r="W14" s="4" t="s">
        <v>19</v>
      </c>
      <c r="X14" s="5">
        <v>10</v>
      </c>
      <c r="AC14" s="4" t="s">
        <v>13</v>
      </c>
      <c r="AD14" s="15">
        <v>60</v>
      </c>
    </row>
    <row r="15" spans="2:30" ht="13.5" thickBot="1" x14ac:dyDescent="0.35">
      <c r="B15" s="4">
        <v>13</v>
      </c>
      <c r="C15" s="1" t="s">
        <v>10</v>
      </c>
      <c r="D15" s="1">
        <v>8.9</v>
      </c>
      <c r="E15" s="1">
        <v>73</v>
      </c>
      <c r="F15" s="1">
        <v>8</v>
      </c>
      <c r="G15" s="1">
        <v>61.7</v>
      </c>
      <c r="H15" s="15">
        <f t="shared" si="1"/>
        <v>73.351580841545854</v>
      </c>
      <c r="J15" s="2" t="s">
        <v>31</v>
      </c>
      <c r="K15" s="3" t="s">
        <v>32</v>
      </c>
      <c r="L15" s="20"/>
      <c r="M15" s="20"/>
      <c r="N15" s="20"/>
      <c r="O15" s="20"/>
      <c r="P15" s="20"/>
      <c r="Q15" s="20"/>
      <c r="R15" s="20"/>
      <c r="W15" s="6" t="s">
        <v>21</v>
      </c>
      <c r="X15" s="7">
        <v>5</v>
      </c>
      <c r="AC15" s="6" t="s">
        <v>18</v>
      </c>
      <c r="AD15" s="16">
        <v>60</v>
      </c>
    </row>
    <row r="16" spans="2:30" ht="13.5" thickBot="1" x14ac:dyDescent="0.35">
      <c r="B16" s="4">
        <v>14</v>
      </c>
      <c r="C16" s="1" t="s">
        <v>13</v>
      </c>
      <c r="D16" s="1">
        <v>10.199999999999999</v>
      </c>
      <c r="E16" s="1">
        <v>74</v>
      </c>
      <c r="F16" s="1">
        <v>9</v>
      </c>
      <c r="G16" s="1">
        <v>62.6</v>
      </c>
      <c r="H16" s="15">
        <f t="shared" si="1"/>
        <v>74.278144024755306</v>
      </c>
      <c r="J16" s="4" t="s">
        <v>5</v>
      </c>
      <c r="K16" s="5">
        <v>10.9</v>
      </c>
      <c r="L16" s="20"/>
      <c r="M16" s="20"/>
      <c r="N16" s="20"/>
      <c r="O16" s="20"/>
      <c r="P16" s="20"/>
      <c r="Q16" s="20"/>
      <c r="R16" s="20"/>
    </row>
    <row r="17" spans="2:30" x14ac:dyDescent="0.3">
      <c r="B17" s="4">
        <v>15</v>
      </c>
      <c r="C17" s="1" t="s">
        <v>10</v>
      </c>
      <c r="D17" s="1">
        <v>11.5</v>
      </c>
      <c r="E17" s="1">
        <v>75</v>
      </c>
      <c r="F17" s="1">
        <v>10</v>
      </c>
      <c r="G17" s="1">
        <v>63.5</v>
      </c>
      <c r="H17" s="15">
        <f t="shared" si="1"/>
        <v>75.204707207964731</v>
      </c>
      <c r="J17" s="4" t="s">
        <v>33</v>
      </c>
      <c r="K17" s="5">
        <v>76.7</v>
      </c>
      <c r="L17" s="20"/>
      <c r="M17" s="20"/>
      <c r="N17" s="20"/>
      <c r="O17" s="20"/>
      <c r="P17" s="20"/>
      <c r="Q17" s="20"/>
      <c r="R17" s="20"/>
      <c r="Z17" s="2" t="s">
        <v>8</v>
      </c>
      <c r="AA17" s="14" t="s">
        <v>34</v>
      </c>
      <c r="AC17" s="2" t="s">
        <v>8</v>
      </c>
      <c r="AD17" s="14" t="s">
        <v>35</v>
      </c>
    </row>
    <row r="18" spans="2:30" x14ac:dyDescent="0.3">
      <c r="B18" s="4">
        <v>16</v>
      </c>
      <c r="C18" s="1" t="s">
        <v>13</v>
      </c>
      <c r="D18" s="1">
        <v>12.8</v>
      </c>
      <c r="E18" s="1">
        <v>76</v>
      </c>
      <c r="F18" s="1">
        <v>11</v>
      </c>
      <c r="G18" s="1">
        <v>64.400000000000006</v>
      </c>
      <c r="H18" s="15">
        <f t="shared" si="1"/>
        <v>76.131270391174183</v>
      </c>
      <c r="J18" s="4" t="s">
        <v>36</v>
      </c>
      <c r="K18" s="5">
        <v>9.5</v>
      </c>
      <c r="L18" s="20"/>
      <c r="M18" s="20"/>
      <c r="N18" s="20"/>
      <c r="O18" s="20"/>
      <c r="P18" s="20"/>
      <c r="Q18" s="20"/>
      <c r="R18" s="20"/>
      <c r="T18" s="33" t="s">
        <v>8</v>
      </c>
      <c r="U18" t="s">
        <v>34</v>
      </c>
      <c r="Z18" s="4" t="s">
        <v>10</v>
      </c>
      <c r="AA18" s="15">
        <v>25</v>
      </c>
      <c r="AC18" s="4" t="s">
        <v>10</v>
      </c>
      <c r="AD18" s="15">
        <v>72.5</v>
      </c>
    </row>
    <row r="19" spans="2:30" ht="13.5" thickBot="1" x14ac:dyDescent="0.35">
      <c r="B19" s="4">
        <v>17</v>
      </c>
      <c r="C19" s="1" t="s">
        <v>10</v>
      </c>
      <c r="D19" s="1">
        <v>14.1</v>
      </c>
      <c r="E19" s="1">
        <v>77</v>
      </c>
      <c r="F19" s="1">
        <v>12</v>
      </c>
      <c r="G19" s="1">
        <v>65.3</v>
      </c>
      <c r="H19" s="15">
        <f t="shared" si="1"/>
        <v>77.057833574383622</v>
      </c>
      <c r="J19" s="6" t="s">
        <v>37</v>
      </c>
      <c r="K19" s="7">
        <v>72.099999999999994</v>
      </c>
      <c r="L19" s="20"/>
      <c r="M19" s="20"/>
      <c r="N19" s="20"/>
      <c r="O19" s="20"/>
      <c r="P19" s="20"/>
      <c r="Q19" s="20"/>
      <c r="R19" s="20"/>
      <c r="T19" s="35" t="s">
        <v>10</v>
      </c>
      <c r="U19" s="34">
        <v>25</v>
      </c>
      <c r="Z19" s="4" t="s">
        <v>13</v>
      </c>
      <c r="AA19" s="15">
        <v>25</v>
      </c>
      <c r="AC19" s="4" t="s">
        <v>13</v>
      </c>
      <c r="AD19" s="15">
        <v>71.599999999999994</v>
      </c>
    </row>
    <row r="20" spans="2:30" ht="13.5" thickBot="1" x14ac:dyDescent="0.35">
      <c r="B20" s="4">
        <v>18</v>
      </c>
      <c r="C20" s="1" t="s">
        <v>13</v>
      </c>
      <c r="D20" s="1">
        <v>15.4</v>
      </c>
      <c r="E20" s="1">
        <v>78</v>
      </c>
      <c r="F20" s="1">
        <v>13</v>
      </c>
      <c r="G20" s="1">
        <v>66.2</v>
      </c>
      <c r="H20" s="15">
        <f t="shared" si="1"/>
        <v>77.984396757593075</v>
      </c>
      <c r="T20" s="35" t="s">
        <v>13</v>
      </c>
      <c r="U20" s="34">
        <v>25</v>
      </c>
      <c r="Z20" s="6" t="s">
        <v>18</v>
      </c>
      <c r="AA20" s="16">
        <v>50</v>
      </c>
      <c r="AC20" s="6" t="s">
        <v>18</v>
      </c>
      <c r="AD20" s="16">
        <v>72.05</v>
      </c>
    </row>
    <row r="21" spans="2:30" ht="13.5" thickBot="1" x14ac:dyDescent="0.35">
      <c r="B21" s="4">
        <v>19</v>
      </c>
      <c r="C21" s="1" t="s">
        <v>10</v>
      </c>
      <c r="D21" s="1">
        <v>16.7</v>
      </c>
      <c r="E21" s="1">
        <v>79</v>
      </c>
      <c r="F21" s="1">
        <v>14</v>
      </c>
      <c r="G21" s="1">
        <v>67.099999999999994</v>
      </c>
      <c r="H21" s="15">
        <f t="shared" si="1"/>
        <v>78.910959940802513</v>
      </c>
      <c r="J21" s="2" t="s">
        <v>38</v>
      </c>
      <c r="K21" s="3" t="s">
        <v>39</v>
      </c>
      <c r="L21" s="20"/>
      <c r="M21" s="20"/>
      <c r="N21" s="20"/>
      <c r="O21" s="20"/>
      <c r="P21" s="20"/>
      <c r="Q21" s="20"/>
      <c r="R21" s="20"/>
      <c r="T21" s="35" t="s">
        <v>18</v>
      </c>
      <c r="U21" s="34">
        <v>50</v>
      </c>
    </row>
    <row r="22" spans="2:30" x14ac:dyDescent="0.3">
      <c r="B22" s="4">
        <v>20</v>
      </c>
      <c r="C22" s="1" t="s">
        <v>13</v>
      </c>
      <c r="D22" s="1">
        <v>5</v>
      </c>
      <c r="E22" s="1">
        <v>80</v>
      </c>
      <c r="F22" s="1">
        <v>5</v>
      </c>
      <c r="G22" s="1">
        <v>68</v>
      </c>
      <c r="H22" s="15">
        <f t="shared" si="1"/>
        <v>73.006849752783282</v>
      </c>
      <c r="J22" s="29" t="s">
        <v>40</v>
      </c>
      <c r="K22" s="5">
        <v>11</v>
      </c>
      <c r="L22" s="20"/>
      <c r="M22" s="20"/>
      <c r="N22" s="20"/>
      <c r="O22" s="20"/>
      <c r="P22" s="20"/>
      <c r="Q22" s="20"/>
      <c r="R22" s="20"/>
      <c r="Z22" s="2" t="s">
        <v>8</v>
      </c>
      <c r="AA22" s="14" t="s">
        <v>41</v>
      </c>
      <c r="AC22" s="2" t="s">
        <v>8</v>
      </c>
      <c r="AD22" s="14" t="s">
        <v>42</v>
      </c>
    </row>
    <row r="23" spans="2:30" x14ac:dyDescent="0.3">
      <c r="B23" s="4">
        <v>21</v>
      </c>
      <c r="C23" s="1" t="s">
        <v>10</v>
      </c>
      <c r="D23" s="1">
        <v>6.3</v>
      </c>
      <c r="E23" s="1">
        <v>81</v>
      </c>
      <c r="F23" s="1">
        <v>6</v>
      </c>
      <c r="G23" s="1">
        <v>68.900000000000006</v>
      </c>
      <c r="H23" s="15">
        <f t="shared" si="1"/>
        <v>73.93341293599272</v>
      </c>
      <c r="J23" s="30" t="s">
        <v>43</v>
      </c>
      <c r="K23" s="5">
        <v>16</v>
      </c>
      <c r="L23" s="20"/>
      <c r="M23" s="20"/>
      <c r="N23" s="20"/>
      <c r="O23" s="20"/>
      <c r="P23" s="20"/>
      <c r="Q23" s="20"/>
      <c r="R23" s="20"/>
      <c r="Z23" s="4" t="s">
        <v>10</v>
      </c>
      <c r="AA23" s="15">
        <v>11.5</v>
      </c>
      <c r="AC23" s="4" t="s">
        <v>10</v>
      </c>
      <c r="AD23" s="15">
        <v>50.9</v>
      </c>
    </row>
    <row r="24" spans="2:30" ht="13.5" thickBot="1" x14ac:dyDescent="0.35">
      <c r="B24" s="4">
        <v>22</v>
      </c>
      <c r="C24" s="1" t="s">
        <v>13</v>
      </c>
      <c r="D24" s="1">
        <v>7.6</v>
      </c>
      <c r="E24" s="1">
        <v>82</v>
      </c>
      <c r="F24" s="1">
        <v>7</v>
      </c>
      <c r="G24" s="1">
        <v>69.8</v>
      </c>
      <c r="H24" s="15">
        <f t="shared" si="1"/>
        <v>74.859976119202173</v>
      </c>
      <c r="J24" s="31" t="s">
        <v>44</v>
      </c>
      <c r="K24" s="7">
        <v>23</v>
      </c>
      <c r="L24" s="20"/>
      <c r="M24" s="20"/>
      <c r="N24" s="20"/>
      <c r="O24" s="20"/>
      <c r="P24" s="20"/>
      <c r="Q24" s="20"/>
      <c r="R24" s="20"/>
      <c r="Z24" s="4" t="s">
        <v>13</v>
      </c>
      <c r="AA24" s="15">
        <v>10.199999999999999</v>
      </c>
      <c r="AC24" s="4" t="s">
        <v>13</v>
      </c>
      <c r="AD24" s="15">
        <v>50</v>
      </c>
    </row>
    <row r="25" spans="2:30" ht="13.5" thickBot="1" x14ac:dyDescent="0.35">
      <c r="B25" s="4">
        <v>23</v>
      </c>
      <c r="C25" s="1" t="s">
        <v>10</v>
      </c>
      <c r="D25" s="1">
        <v>8.9</v>
      </c>
      <c r="E25" s="1">
        <v>83</v>
      </c>
      <c r="F25" s="1">
        <v>8</v>
      </c>
      <c r="G25" s="1">
        <v>70.7</v>
      </c>
      <c r="H25" s="15">
        <f t="shared" si="1"/>
        <v>75.786539302411612</v>
      </c>
      <c r="Z25" s="6" t="s">
        <v>32</v>
      </c>
      <c r="AA25" s="16">
        <v>10.85</v>
      </c>
      <c r="AC25" s="6" t="s">
        <v>18</v>
      </c>
      <c r="AD25" s="16">
        <v>50</v>
      </c>
    </row>
    <row r="26" spans="2:30" ht="13.5" thickBot="1" x14ac:dyDescent="0.35">
      <c r="B26" s="4">
        <v>24</v>
      </c>
      <c r="C26" s="1" t="s">
        <v>13</v>
      </c>
      <c r="D26" s="1">
        <v>10.199999999999999</v>
      </c>
      <c r="E26" s="1">
        <v>84</v>
      </c>
      <c r="F26" s="1">
        <v>9</v>
      </c>
      <c r="G26" s="1">
        <v>71.599999999999994</v>
      </c>
      <c r="H26" s="15">
        <f t="shared" si="1"/>
        <v>76.713102485621064</v>
      </c>
    </row>
    <row r="27" spans="2:30" x14ac:dyDescent="0.3">
      <c r="B27" s="4">
        <v>25</v>
      </c>
      <c r="C27" s="1" t="s">
        <v>10</v>
      </c>
      <c r="D27" s="1">
        <v>11.5</v>
      </c>
      <c r="E27" s="1">
        <v>85</v>
      </c>
      <c r="F27" s="1">
        <v>10</v>
      </c>
      <c r="G27" s="1">
        <v>72.5</v>
      </c>
      <c r="H27" s="15">
        <f t="shared" si="1"/>
        <v>77.639665668830503</v>
      </c>
      <c r="J27" s="10"/>
      <c r="K27" s="10" t="s">
        <v>2</v>
      </c>
      <c r="L27" s="10" t="s">
        <v>3</v>
      </c>
      <c r="M27" s="10" t="s">
        <v>4</v>
      </c>
      <c r="N27" s="10" t="s">
        <v>69</v>
      </c>
      <c r="O27" s="10" t="s">
        <v>70</v>
      </c>
      <c r="P27" s="10"/>
      <c r="Q27" s="10"/>
      <c r="R27" s="10"/>
      <c r="S27" s="10"/>
      <c r="Z27" s="2" t="s">
        <v>8</v>
      </c>
      <c r="AA27" s="14" t="s">
        <v>45</v>
      </c>
      <c r="AC27" s="2" t="s">
        <v>8</v>
      </c>
      <c r="AD27" s="14" t="s">
        <v>46</v>
      </c>
    </row>
    <row r="28" spans="2:30" x14ac:dyDescent="0.3">
      <c r="B28" s="4">
        <v>26</v>
      </c>
      <c r="C28" s="1" t="s">
        <v>13</v>
      </c>
      <c r="D28" s="1">
        <v>12.8</v>
      </c>
      <c r="E28" s="1">
        <v>86</v>
      </c>
      <c r="F28" s="1">
        <v>11</v>
      </c>
      <c r="G28" s="1">
        <v>73.400000000000006</v>
      </c>
      <c r="H28" s="15">
        <f t="shared" si="1"/>
        <v>78.566228852039956</v>
      </c>
      <c r="J28" s="8" t="s">
        <v>2</v>
      </c>
      <c r="K28" s="8">
        <v>1</v>
      </c>
      <c r="L28" s="8"/>
      <c r="M28" s="8"/>
      <c r="N28" s="8"/>
      <c r="O28" s="8"/>
      <c r="P28" s="8"/>
      <c r="Q28" s="8"/>
      <c r="R28" s="8"/>
      <c r="S28" s="8"/>
      <c r="U28" s="35"/>
      <c r="V28" s="34"/>
      <c r="Z28" s="4" t="s">
        <v>10</v>
      </c>
      <c r="AA28" s="15">
        <v>77</v>
      </c>
      <c r="AC28" s="4" t="s">
        <v>10</v>
      </c>
      <c r="AD28" s="15">
        <v>94.1</v>
      </c>
    </row>
    <row r="29" spans="2:30" x14ac:dyDescent="0.3">
      <c r="B29" s="4">
        <v>27</v>
      </c>
      <c r="C29" s="1" t="s">
        <v>10</v>
      </c>
      <c r="D29" s="1">
        <v>14.1</v>
      </c>
      <c r="E29" s="1">
        <v>87</v>
      </c>
      <c r="F29" s="1">
        <v>12</v>
      </c>
      <c r="G29" s="1">
        <v>74.3</v>
      </c>
      <c r="H29" s="15">
        <f t="shared" si="1"/>
        <v>79.49279203524938</v>
      </c>
      <c r="J29" s="8" t="s">
        <v>3</v>
      </c>
      <c r="K29" s="8">
        <v>0.21657189731617008</v>
      </c>
      <c r="L29" s="8">
        <v>1</v>
      </c>
      <c r="M29" s="8"/>
      <c r="N29" s="8"/>
      <c r="O29" s="8"/>
      <c r="P29" s="21"/>
      <c r="Q29" s="21"/>
      <c r="R29" s="21"/>
      <c r="S29" s="8"/>
      <c r="U29" s="35"/>
      <c r="V29" s="34"/>
      <c r="Z29" s="4" t="s">
        <v>13</v>
      </c>
      <c r="AA29" s="15">
        <v>76.400000000000006</v>
      </c>
      <c r="AC29" s="4" t="s">
        <v>13</v>
      </c>
      <c r="AD29" s="15">
        <v>93.2</v>
      </c>
    </row>
    <row r="30" spans="2:30" ht="13.5" thickBot="1" x14ac:dyDescent="0.35">
      <c r="B30" s="4">
        <v>28</v>
      </c>
      <c r="C30" s="1" t="s">
        <v>13</v>
      </c>
      <c r="D30" s="1">
        <v>15.4</v>
      </c>
      <c r="E30" s="1">
        <v>88</v>
      </c>
      <c r="F30" s="1">
        <v>13</v>
      </c>
      <c r="G30" s="1">
        <v>75.2</v>
      </c>
      <c r="H30" s="15">
        <f t="shared" si="1"/>
        <v>80.419355218458833</v>
      </c>
      <c r="J30" s="8" t="s">
        <v>4</v>
      </c>
      <c r="K30" s="8">
        <v>1</v>
      </c>
      <c r="L30" s="8">
        <v>0.21657189731616999</v>
      </c>
      <c r="M30" s="8">
        <v>1</v>
      </c>
      <c r="N30" s="8"/>
      <c r="O30" s="8"/>
      <c r="P30" s="8"/>
      <c r="Q30" s="8"/>
      <c r="R30" s="8"/>
      <c r="S30" s="21"/>
      <c r="Z30" s="6" t="s">
        <v>32</v>
      </c>
      <c r="AA30" s="16">
        <v>76.7</v>
      </c>
      <c r="AC30" s="6" t="s">
        <v>18</v>
      </c>
      <c r="AD30" s="16">
        <v>94.1</v>
      </c>
    </row>
    <row r="31" spans="2:30" ht="13.5" thickBot="1" x14ac:dyDescent="0.35">
      <c r="B31" s="4">
        <v>29</v>
      </c>
      <c r="C31" s="1" t="s">
        <v>10</v>
      </c>
      <c r="D31" s="1">
        <v>16.7</v>
      </c>
      <c r="E31" s="1">
        <v>89</v>
      </c>
      <c r="F31" s="1">
        <v>14</v>
      </c>
      <c r="G31" s="1">
        <v>76.099999999999994</v>
      </c>
      <c r="H31" s="15">
        <f t="shared" si="1"/>
        <v>81.345918401668271</v>
      </c>
      <c r="J31" s="8" t="s">
        <v>69</v>
      </c>
      <c r="K31" s="8">
        <v>0.19903729886263882</v>
      </c>
      <c r="L31" s="8">
        <v>0.25423675296826809</v>
      </c>
      <c r="M31" s="8">
        <v>0.19903729886263882</v>
      </c>
      <c r="N31" s="8">
        <v>1</v>
      </c>
      <c r="O31" s="8"/>
      <c r="P31" s="22"/>
      <c r="Q31" s="22"/>
      <c r="R31" s="22"/>
      <c r="S31" s="22"/>
    </row>
    <row r="32" spans="2:30" ht="13.5" thickBot="1" x14ac:dyDescent="0.35">
      <c r="B32" s="4">
        <v>30</v>
      </c>
      <c r="C32" s="1" t="s">
        <v>13</v>
      </c>
      <c r="D32" s="1">
        <v>5</v>
      </c>
      <c r="E32" s="1">
        <v>90</v>
      </c>
      <c r="F32" s="1">
        <v>5</v>
      </c>
      <c r="G32" s="1">
        <v>77</v>
      </c>
      <c r="H32" s="15">
        <f t="shared" si="1"/>
        <v>75.44180821364904</v>
      </c>
      <c r="J32" s="9" t="s">
        <v>70</v>
      </c>
      <c r="K32" s="9">
        <v>0.67719446253215843</v>
      </c>
      <c r="L32" s="9">
        <v>0.8650022999010113</v>
      </c>
      <c r="M32" s="9">
        <v>0.67719446253215831</v>
      </c>
      <c r="N32" s="9">
        <v>0.29391453987736488</v>
      </c>
      <c r="O32" s="9">
        <v>1</v>
      </c>
      <c r="Z32" s="2" t="s">
        <v>8</v>
      </c>
      <c r="AA32" s="14" t="s">
        <v>47</v>
      </c>
      <c r="AC32" s="2" t="s">
        <v>8</v>
      </c>
      <c r="AD32" s="14" t="s">
        <v>48</v>
      </c>
    </row>
    <row r="33" spans="2:30" x14ac:dyDescent="0.3">
      <c r="B33" s="4">
        <v>31</v>
      </c>
      <c r="C33" s="1" t="s">
        <v>10</v>
      </c>
      <c r="D33" s="1">
        <v>6.3</v>
      </c>
      <c r="E33" s="1">
        <v>91</v>
      </c>
      <c r="F33" s="1">
        <v>6</v>
      </c>
      <c r="G33" s="1">
        <v>77.900000000000006</v>
      </c>
      <c r="H33" s="15">
        <f t="shared" si="1"/>
        <v>76.368371396858493</v>
      </c>
      <c r="Z33" s="4" t="s">
        <v>10</v>
      </c>
      <c r="AA33" s="15">
        <v>10</v>
      </c>
      <c r="AC33" s="4" t="s">
        <v>10</v>
      </c>
      <c r="AD33" s="15">
        <v>6.3</v>
      </c>
    </row>
    <row r="34" spans="2:30" ht="13.5" thickBot="1" x14ac:dyDescent="0.35">
      <c r="B34" s="4">
        <v>32</v>
      </c>
      <c r="C34" s="1" t="s">
        <v>13</v>
      </c>
      <c r="D34" s="1">
        <v>7.6</v>
      </c>
      <c r="E34" s="1">
        <v>92</v>
      </c>
      <c r="F34" s="1">
        <v>7</v>
      </c>
      <c r="G34" s="1">
        <v>78.8</v>
      </c>
      <c r="H34" s="15">
        <f t="shared" si="1"/>
        <v>77.294934580067931</v>
      </c>
      <c r="AA34" s="47">
        <v>9</v>
      </c>
      <c r="AD34" s="15">
        <v>5</v>
      </c>
    </row>
    <row r="35" spans="2:30" ht="13.5" thickBot="1" x14ac:dyDescent="0.35">
      <c r="B35" s="4">
        <v>33</v>
      </c>
      <c r="C35" s="1" t="s">
        <v>10</v>
      </c>
      <c r="D35" s="1">
        <v>8.9</v>
      </c>
      <c r="E35" s="1">
        <v>93</v>
      </c>
      <c r="F35" s="1">
        <v>8</v>
      </c>
      <c r="G35" s="1">
        <v>79.7</v>
      </c>
      <c r="H35" s="15">
        <f t="shared" si="1"/>
        <v>78.22149776327737</v>
      </c>
      <c r="V35" s="2"/>
      <c r="W35" s="11"/>
      <c r="X35" s="11"/>
      <c r="Y35" s="11"/>
      <c r="Z35" s="11"/>
      <c r="AA35" s="11"/>
      <c r="AB35" s="11"/>
      <c r="AC35" s="3"/>
      <c r="AD35" s="36">
        <v>5</v>
      </c>
    </row>
    <row r="36" spans="2:30" x14ac:dyDescent="0.3">
      <c r="B36" s="4">
        <v>34</v>
      </c>
      <c r="C36" s="1" t="s">
        <v>13</v>
      </c>
      <c r="D36" s="1">
        <v>10.199999999999999</v>
      </c>
      <c r="E36" s="1">
        <v>94</v>
      </c>
      <c r="F36" s="1">
        <v>9</v>
      </c>
      <c r="G36" s="1">
        <v>80.599999999999994</v>
      </c>
      <c r="H36" s="15">
        <f t="shared" si="1"/>
        <v>79.148060946486822</v>
      </c>
      <c r="V36" s="39"/>
      <c r="W36" s="1"/>
      <c r="X36" s="1"/>
      <c r="Y36" s="1"/>
      <c r="Z36" s="1"/>
      <c r="AA36" s="1"/>
      <c r="AB36" s="1"/>
      <c r="AC36" s="5"/>
    </row>
    <row r="37" spans="2:30" x14ac:dyDescent="0.3">
      <c r="B37" s="4">
        <v>35</v>
      </c>
      <c r="C37" s="1" t="s">
        <v>10</v>
      </c>
      <c r="D37" s="1">
        <v>11.5</v>
      </c>
      <c r="E37" s="1">
        <v>95</v>
      </c>
      <c r="F37" s="1">
        <v>10</v>
      </c>
      <c r="G37" s="1">
        <v>81.5</v>
      </c>
      <c r="H37" s="15">
        <f t="shared" si="1"/>
        <v>80.074624129696261</v>
      </c>
      <c r="V37" s="40">
        <v>0.29391453987736477</v>
      </c>
      <c r="W37" s="1"/>
      <c r="X37" s="1"/>
      <c r="Y37" s="1"/>
      <c r="Z37" s="1"/>
      <c r="AA37" s="1"/>
      <c r="AB37" s="1"/>
      <c r="AC37" s="5"/>
    </row>
    <row r="38" spans="2:30" x14ac:dyDescent="0.3">
      <c r="B38" s="4">
        <v>36</v>
      </c>
      <c r="C38" s="1" t="s">
        <v>13</v>
      </c>
      <c r="D38" s="1">
        <v>12.8</v>
      </c>
      <c r="E38" s="1">
        <v>96</v>
      </c>
      <c r="F38" s="1">
        <v>11</v>
      </c>
      <c r="G38" s="1">
        <v>82.4</v>
      </c>
      <c r="H38" s="15">
        <f t="shared" si="1"/>
        <v>81.001187312905714</v>
      </c>
      <c r="K38" s="33" t="s">
        <v>8</v>
      </c>
      <c r="L38" t="s">
        <v>71</v>
      </c>
      <c r="V38" s="40">
        <v>8.638575675132304E-2</v>
      </c>
      <c r="W38" s="1"/>
      <c r="X38" s="1"/>
      <c r="Y38" s="1"/>
      <c r="Z38" s="1"/>
      <c r="AA38" s="1"/>
      <c r="AB38" s="1"/>
      <c r="AC38" s="5"/>
    </row>
    <row r="39" spans="2:30" x14ac:dyDescent="0.3">
      <c r="B39" s="4">
        <v>37</v>
      </c>
      <c r="C39" s="1" t="s">
        <v>10</v>
      </c>
      <c r="D39" s="1">
        <v>14.1</v>
      </c>
      <c r="E39" s="1">
        <v>97</v>
      </c>
      <c r="F39" s="1">
        <v>12</v>
      </c>
      <c r="G39" s="1">
        <v>83.3</v>
      </c>
      <c r="H39" s="15">
        <f t="shared" si="1"/>
        <v>81.927750496115152</v>
      </c>
      <c r="K39" s="35" t="s">
        <v>10</v>
      </c>
      <c r="L39" s="34">
        <v>72.5</v>
      </c>
      <c r="V39" s="40">
        <v>2.6231959166272953E-2</v>
      </c>
      <c r="W39" s="1"/>
      <c r="X39" s="1"/>
      <c r="Y39" s="1"/>
      <c r="Z39" s="1"/>
      <c r="AA39" s="1"/>
      <c r="AB39" s="1"/>
      <c r="AC39" s="5"/>
    </row>
    <row r="40" spans="2:30" x14ac:dyDescent="0.3">
      <c r="B40" s="4">
        <v>38</v>
      </c>
      <c r="C40" s="1" t="s">
        <v>13</v>
      </c>
      <c r="D40" s="1">
        <v>15.4</v>
      </c>
      <c r="E40" s="1">
        <v>98</v>
      </c>
      <c r="F40" s="1">
        <v>13</v>
      </c>
      <c r="G40" s="1">
        <v>84.2</v>
      </c>
      <c r="H40" s="15">
        <f t="shared" si="1"/>
        <v>82.854313679324605</v>
      </c>
      <c r="K40" s="35" t="s">
        <v>13</v>
      </c>
      <c r="L40" s="34">
        <v>71.600000000000009</v>
      </c>
      <c r="V40" s="4" t="s">
        <v>70</v>
      </c>
      <c r="W40" s="1"/>
      <c r="X40" s="1"/>
      <c r="Y40" s="1"/>
      <c r="Z40" s="1"/>
      <c r="AA40" s="1"/>
      <c r="AB40" s="1"/>
      <c r="AC40" s="5"/>
    </row>
    <row r="41" spans="2:30" x14ac:dyDescent="0.3">
      <c r="B41" s="4">
        <v>39</v>
      </c>
      <c r="C41" s="1" t="s">
        <v>10</v>
      </c>
      <c r="D41" s="1">
        <v>16.7</v>
      </c>
      <c r="E41" s="1">
        <v>99</v>
      </c>
      <c r="F41" s="1">
        <v>14</v>
      </c>
      <c r="G41" s="1">
        <v>85.1</v>
      </c>
      <c r="H41" s="15">
        <f t="shared" si="1"/>
        <v>83.780876862534029</v>
      </c>
      <c r="K41" s="35" t="s">
        <v>18</v>
      </c>
      <c r="L41" s="34">
        <v>72.05</v>
      </c>
      <c r="V41" s="4"/>
      <c r="W41" s="1"/>
      <c r="X41" s="1"/>
      <c r="Y41" s="1"/>
      <c r="Z41" s="1"/>
      <c r="AA41" s="1"/>
      <c r="AB41" s="1"/>
      <c r="AC41" s="5"/>
    </row>
    <row r="42" spans="2:30" x14ac:dyDescent="0.3">
      <c r="B42" s="4">
        <v>40</v>
      </c>
      <c r="C42" s="1" t="s">
        <v>13</v>
      </c>
      <c r="D42" s="1">
        <v>5</v>
      </c>
      <c r="E42" s="1">
        <v>60</v>
      </c>
      <c r="F42" s="1">
        <v>5</v>
      </c>
      <c r="G42" s="1">
        <v>86</v>
      </c>
      <c r="H42" s="15">
        <f t="shared" si="1"/>
        <v>68.136932831051752</v>
      </c>
      <c r="V42" s="4"/>
      <c r="W42" s="1"/>
      <c r="X42" s="1"/>
      <c r="Y42" s="1"/>
      <c r="Z42" s="1"/>
      <c r="AA42" s="1"/>
      <c r="AB42" s="1"/>
      <c r="AC42" s="5"/>
    </row>
    <row r="43" spans="2:30" x14ac:dyDescent="0.3">
      <c r="B43" s="4">
        <v>41</v>
      </c>
      <c r="C43" s="1" t="s">
        <v>10</v>
      </c>
      <c r="D43" s="1">
        <v>6.3</v>
      </c>
      <c r="E43" s="1">
        <v>61</v>
      </c>
      <c r="F43" s="1">
        <v>6</v>
      </c>
      <c r="G43" s="1">
        <v>86.9</v>
      </c>
      <c r="H43" s="15">
        <f t="shared" si="1"/>
        <v>69.063496014261204</v>
      </c>
      <c r="V43" s="4"/>
      <c r="W43" s="1"/>
      <c r="X43" s="1"/>
      <c r="Y43" s="1"/>
      <c r="Z43" s="1"/>
      <c r="AA43" s="1"/>
      <c r="AB43" s="1"/>
      <c r="AC43" s="5"/>
    </row>
    <row r="44" spans="2:30" x14ac:dyDescent="0.3">
      <c r="B44" s="4">
        <v>42</v>
      </c>
      <c r="C44" s="1" t="s">
        <v>13</v>
      </c>
      <c r="D44" s="1">
        <v>7.6</v>
      </c>
      <c r="E44" s="1">
        <v>62</v>
      </c>
      <c r="F44" s="1">
        <v>7</v>
      </c>
      <c r="G44" s="1">
        <v>87.8</v>
      </c>
      <c r="H44" s="15">
        <f t="shared" si="1"/>
        <v>69.990059197470643</v>
      </c>
      <c r="V44" s="4"/>
      <c r="W44" s="38" t="s">
        <v>58</v>
      </c>
      <c r="X44" s="38" t="s">
        <v>59</v>
      </c>
      <c r="Y44" s="38" t="s">
        <v>60</v>
      </c>
      <c r="Z44" s="38" t="s">
        <v>61</v>
      </c>
      <c r="AA44" s="1"/>
      <c r="AB44" s="1"/>
      <c r="AC44" s="5"/>
    </row>
    <row r="45" spans="2:30" ht="13.5" thickBot="1" x14ac:dyDescent="0.35">
      <c r="B45" s="4">
        <v>43</v>
      </c>
      <c r="C45" s="1" t="s">
        <v>10</v>
      </c>
      <c r="D45" s="1">
        <v>8.9</v>
      </c>
      <c r="E45" s="1">
        <v>63</v>
      </c>
      <c r="F45" s="1">
        <v>8</v>
      </c>
      <c r="G45" s="1">
        <v>88.7</v>
      </c>
      <c r="H45" s="15">
        <f t="shared" si="1"/>
        <v>70.916622380680082</v>
      </c>
      <c r="V45" s="4">
        <v>1</v>
      </c>
      <c r="W45" s="37">
        <v>728.58827066025242</v>
      </c>
      <c r="X45" s="37">
        <v>242.86275688675082</v>
      </c>
      <c r="Y45" s="37">
        <v>2.2220158000574508</v>
      </c>
      <c r="Z45" s="37">
        <v>9.8259889456759175E-2</v>
      </c>
      <c r="AA45" s="1"/>
      <c r="AB45" s="1"/>
      <c r="AC45" s="5"/>
    </row>
    <row r="46" spans="2:30" x14ac:dyDescent="0.3">
      <c r="B46" s="4">
        <v>44</v>
      </c>
      <c r="C46" s="1" t="s">
        <v>13</v>
      </c>
      <c r="D46" s="1">
        <v>10.199999999999999</v>
      </c>
      <c r="E46" s="1">
        <v>64</v>
      </c>
      <c r="F46" s="1">
        <v>9</v>
      </c>
      <c r="G46" s="1">
        <v>89.6</v>
      </c>
      <c r="H46" s="15">
        <f t="shared" si="1"/>
        <v>71.843185563889534</v>
      </c>
      <c r="K46" s="17" t="s">
        <v>72</v>
      </c>
      <c r="L46" s="19" t="s">
        <v>56</v>
      </c>
      <c r="V46" s="40">
        <v>47</v>
      </c>
      <c r="W46" s="37">
        <v>7705.5367293397476</v>
      </c>
      <c r="X46" s="37">
        <v>163.94758998595208</v>
      </c>
      <c r="Y46" s="37"/>
      <c r="Z46" s="37"/>
      <c r="AA46" s="1"/>
      <c r="AB46" s="1"/>
      <c r="AC46" s="5"/>
    </row>
    <row r="47" spans="2:30" x14ac:dyDescent="0.3">
      <c r="B47" s="4">
        <v>45</v>
      </c>
      <c r="C47" s="1" t="s">
        <v>10</v>
      </c>
      <c r="D47" s="1">
        <v>11.5</v>
      </c>
      <c r="E47" s="1">
        <v>65</v>
      </c>
      <c r="F47" s="1">
        <v>10</v>
      </c>
      <c r="G47" s="1">
        <v>90.5</v>
      </c>
      <c r="H47" s="15">
        <f t="shared" si="1"/>
        <v>72.769748747098973</v>
      </c>
      <c r="K47" s="48" t="s">
        <v>10</v>
      </c>
      <c r="L47" s="49">
        <v>72.5</v>
      </c>
      <c r="V47" s="40">
        <v>50</v>
      </c>
      <c r="W47" s="37">
        <v>8434.125</v>
      </c>
      <c r="X47" s="37"/>
      <c r="Y47" s="37"/>
      <c r="Z47" s="37"/>
      <c r="AA47" s="1"/>
      <c r="AB47" s="1"/>
      <c r="AC47" s="5"/>
    </row>
    <row r="48" spans="2:30" x14ac:dyDescent="0.3">
      <c r="B48" s="4">
        <v>46</v>
      </c>
      <c r="C48" s="1" t="s">
        <v>13</v>
      </c>
      <c r="D48" s="1">
        <v>12.8</v>
      </c>
      <c r="E48" s="1">
        <v>66</v>
      </c>
      <c r="F48" s="1">
        <v>11</v>
      </c>
      <c r="G48" s="1">
        <v>91.4</v>
      </c>
      <c r="H48" s="15">
        <f t="shared" si="1"/>
        <v>73.696311930308426</v>
      </c>
      <c r="K48" s="48" t="s">
        <v>13</v>
      </c>
      <c r="L48" s="49">
        <v>71.600000000000009</v>
      </c>
      <c r="V48" s="4"/>
      <c r="W48" s="1"/>
      <c r="X48" s="1"/>
      <c r="Y48" s="1"/>
      <c r="Z48" s="1"/>
      <c r="AA48" s="1"/>
      <c r="AB48" s="1"/>
      <c r="AC48" s="5"/>
    </row>
    <row r="49" spans="2:29" ht="13.5" thickBot="1" x14ac:dyDescent="0.35">
      <c r="B49" s="4">
        <v>47</v>
      </c>
      <c r="C49" s="1" t="s">
        <v>10</v>
      </c>
      <c r="D49" s="1">
        <v>14.1</v>
      </c>
      <c r="E49" s="1">
        <v>67</v>
      </c>
      <c r="F49" s="1">
        <v>12</v>
      </c>
      <c r="G49" s="1">
        <v>92.3</v>
      </c>
      <c r="H49" s="15">
        <f t="shared" si="1"/>
        <v>74.622875113517864</v>
      </c>
      <c r="K49" s="50" t="s">
        <v>32</v>
      </c>
      <c r="L49" s="51">
        <v>72.05</v>
      </c>
      <c r="V49" s="41" t="s">
        <v>62</v>
      </c>
      <c r="W49" s="38" t="s">
        <v>57</v>
      </c>
      <c r="X49" s="38" t="s">
        <v>63</v>
      </c>
      <c r="Y49" s="38" t="s">
        <v>64</v>
      </c>
      <c r="Z49" s="38" t="s">
        <v>65</v>
      </c>
      <c r="AA49" s="38" t="s">
        <v>66</v>
      </c>
      <c r="AB49" s="38" t="s">
        <v>67</v>
      </c>
      <c r="AC49" s="42" t="s">
        <v>68</v>
      </c>
    </row>
    <row r="50" spans="2:29" x14ac:dyDescent="0.3">
      <c r="B50" s="4">
        <v>48</v>
      </c>
      <c r="C50" s="1" t="s">
        <v>13</v>
      </c>
      <c r="D50" s="1">
        <v>15.4</v>
      </c>
      <c r="E50" s="1">
        <v>68</v>
      </c>
      <c r="F50" s="1">
        <v>13</v>
      </c>
      <c r="G50" s="1">
        <v>93.2</v>
      </c>
      <c r="H50" s="15">
        <f t="shared" si="1"/>
        <v>75.549438296727317</v>
      </c>
      <c r="V50" s="40">
        <v>47.672883522249506</v>
      </c>
      <c r="W50" s="37">
        <v>12.214223697646249</v>
      </c>
      <c r="X50" s="37">
        <v>3.9030629127446179</v>
      </c>
      <c r="Y50" s="37">
        <v>3.0182808998691275E-4</v>
      </c>
      <c r="Z50" s="37">
        <v>23.101034865936349</v>
      </c>
      <c r="AA50" s="37">
        <v>72.244732178562657</v>
      </c>
      <c r="AB50" s="37">
        <v>23.101034865936381</v>
      </c>
      <c r="AC50" s="43">
        <v>72.244732178562629</v>
      </c>
    </row>
    <row r="51" spans="2:29" x14ac:dyDescent="0.3">
      <c r="B51" s="4">
        <v>49</v>
      </c>
      <c r="C51" s="1" t="s">
        <v>10</v>
      </c>
      <c r="D51" s="1">
        <v>16.7</v>
      </c>
      <c r="E51" s="1">
        <v>69</v>
      </c>
      <c r="F51" s="1">
        <v>14</v>
      </c>
      <c r="G51" s="1">
        <v>94.1</v>
      </c>
      <c r="H51" s="15">
        <f t="shared" si="1"/>
        <v>76.476001479936755</v>
      </c>
      <c r="V51" s="40">
        <v>0.52543641317143719</v>
      </c>
      <c r="W51" s="37">
        <v>0.49673953514967795</v>
      </c>
      <c r="X51" s="37">
        <v>1.0577704732382782</v>
      </c>
      <c r="Y51" s="37">
        <v>0.29556657969040906</v>
      </c>
      <c r="Z51" s="37">
        <v>-0.47387463446046152</v>
      </c>
      <c r="AA51" s="37">
        <v>1.524747460803336</v>
      </c>
      <c r="AB51" s="37">
        <v>-0.47387463446046019</v>
      </c>
      <c r="AC51" s="43">
        <v>1.5247474608033347</v>
      </c>
    </row>
    <row r="52" spans="2:29" ht="13.5" thickBot="1" x14ac:dyDescent="0.35">
      <c r="B52" s="6">
        <v>50</v>
      </c>
      <c r="C52" s="12" t="s">
        <v>13</v>
      </c>
      <c r="D52" s="12">
        <v>5</v>
      </c>
      <c r="E52" s="12">
        <v>70</v>
      </c>
      <c r="F52" s="12">
        <v>5</v>
      </c>
      <c r="G52" s="12">
        <v>50</v>
      </c>
      <c r="H52" s="16">
        <f t="shared" si="1"/>
        <v>70.571891291917524</v>
      </c>
      <c r="V52" s="40">
        <v>0.24349584608657618</v>
      </c>
      <c r="W52" s="37">
        <v>0.15697872219084169</v>
      </c>
      <c r="X52" s="37">
        <v>1.5511391778979711</v>
      </c>
      <c r="Y52" s="37">
        <v>0.12757663278443296</v>
      </c>
      <c r="Z52" s="37">
        <v>-7.2304609138270054E-2</v>
      </c>
      <c r="AA52" s="37">
        <v>0.55929630131142238</v>
      </c>
      <c r="AB52" s="37">
        <v>-7.230460913826961E-2</v>
      </c>
      <c r="AC52" s="43">
        <v>0.55929630131142194</v>
      </c>
    </row>
    <row r="53" spans="2:29" ht="13.5" thickBot="1" x14ac:dyDescent="0.35">
      <c r="V53" s="44">
        <v>0</v>
      </c>
      <c r="W53" s="45">
        <v>0</v>
      </c>
      <c r="X53" s="45">
        <v>65535</v>
      </c>
      <c r="Y53" s="45" t="e">
        <v>#NUM!</v>
      </c>
      <c r="Z53" s="45">
        <v>0</v>
      </c>
      <c r="AA53" s="45">
        <v>0</v>
      </c>
      <c r="AB53" s="45">
        <v>0</v>
      </c>
      <c r="AC53" s="46">
        <v>0</v>
      </c>
    </row>
    <row r="54" spans="2:29" ht="13.5" thickBot="1" x14ac:dyDescent="0.35">
      <c r="AA54"/>
    </row>
    <row r="55" spans="2:29" x14ac:dyDescent="0.3">
      <c r="B55" s="2" t="s">
        <v>49</v>
      </c>
      <c r="C55" s="11"/>
      <c r="D55" s="11">
        <v>10.9</v>
      </c>
      <c r="E55" s="11">
        <v>76.7</v>
      </c>
      <c r="F55" s="11">
        <v>9.5</v>
      </c>
      <c r="G55" s="3">
        <v>72.099999999999994</v>
      </c>
      <c r="H55" s="20"/>
      <c r="AA55"/>
    </row>
    <row r="56" spans="2:29" x14ac:dyDescent="0.3">
      <c r="B56" s="4" t="s">
        <v>50</v>
      </c>
      <c r="C56" s="1"/>
      <c r="D56" s="1">
        <v>10.9</v>
      </c>
      <c r="E56" s="1">
        <v>74.5</v>
      </c>
      <c r="F56" s="1">
        <v>9.5</v>
      </c>
      <c r="G56" s="5">
        <v>72.099999999999994</v>
      </c>
      <c r="H56" s="20"/>
      <c r="AA56"/>
    </row>
    <row r="57" spans="2:29" x14ac:dyDescent="0.3">
      <c r="B57" s="4" t="s">
        <v>51</v>
      </c>
      <c r="C57" s="1"/>
      <c r="D57" s="1">
        <v>6.3</v>
      </c>
      <c r="E57" s="1">
        <v>61</v>
      </c>
      <c r="F57" s="1">
        <v>6</v>
      </c>
      <c r="G57" s="5" t="e">
        <v>#N/A</v>
      </c>
      <c r="H57" s="20"/>
    </row>
    <row r="58" spans="2:29" x14ac:dyDescent="0.3">
      <c r="B58" s="4" t="s">
        <v>52</v>
      </c>
      <c r="C58" s="1"/>
      <c r="D58" s="1">
        <v>14.2</v>
      </c>
      <c r="E58" s="1">
        <v>142.5</v>
      </c>
      <c r="F58" s="1">
        <v>8.4</v>
      </c>
      <c r="G58" s="5">
        <v>172.1</v>
      </c>
      <c r="H58" s="20"/>
    </row>
    <row r="59" spans="2:29" ht="13.5" thickBot="1" x14ac:dyDescent="0.35">
      <c r="B59" s="6" t="s">
        <v>53</v>
      </c>
      <c r="C59" s="12"/>
      <c r="D59" s="12">
        <v>3.8</v>
      </c>
      <c r="E59" s="12">
        <v>11.9</v>
      </c>
      <c r="F59" s="12">
        <v>2.9</v>
      </c>
      <c r="G59" s="7">
        <v>13.1</v>
      </c>
      <c r="H59" s="20"/>
    </row>
  </sheetData>
  <conditionalFormatting sqref="P28:S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18DE-557F-44E9-8328-96F6568A43A1}">
  <dimension ref="H1:Q11"/>
  <sheetViews>
    <sheetView tabSelected="1" workbookViewId="0">
      <selection activeCell="M37" sqref="M37"/>
    </sheetView>
  </sheetViews>
  <sheetFormatPr defaultRowHeight="13" x14ac:dyDescent="0.3"/>
  <cols>
    <col min="12" max="12" width="8.08203125" customWidth="1"/>
    <col min="13" max="13" width="10.6640625" customWidth="1"/>
    <col min="14" max="14" width="9.25" customWidth="1"/>
    <col min="15" max="15" width="7.83203125" customWidth="1"/>
    <col min="16" max="16" width="7.75" customWidth="1"/>
    <col min="17" max="17" width="11.9140625" customWidth="1"/>
  </cols>
  <sheetData>
    <row r="1" spans="8:17" ht="7" customHeight="1" x14ac:dyDescent="0.3"/>
    <row r="3" spans="8:17" ht="13.5" thickBot="1" x14ac:dyDescent="0.35"/>
    <row r="4" spans="8:17" ht="13.5" thickBot="1" x14ac:dyDescent="0.35">
      <c r="M4" s="20"/>
      <c r="N4" s="26" t="str">
        <f>student_performance_analysis!K27</f>
        <v xml:space="preserve">Hours Studied </v>
      </c>
      <c r="O4" s="26" t="str">
        <f>student_performance_analysis!L27</f>
        <v xml:space="preserve">Attendance </v>
      </c>
      <c r="P4" s="26" t="str">
        <f>student_performance_analysis!M27</f>
        <v xml:space="preserve">Assignment completed </v>
      </c>
      <c r="Q4" s="26" t="str">
        <f>student_performance_analysis!N27</f>
        <v xml:space="preserve">Actual Score </v>
      </c>
    </row>
    <row r="5" spans="8:17" x14ac:dyDescent="0.3">
      <c r="M5" s="23" t="s">
        <v>5</v>
      </c>
      <c r="N5" s="27">
        <f>student_performance_analysis!K28</f>
        <v>1</v>
      </c>
      <c r="O5" s="27">
        <f>student_performance_analysis!L28</f>
        <v>0</v>
      </c>
      <c r="P5" s="27">
        <f>student_performance_analysis!M28</f>
        <v>0</v>
      </c>
      <c r="Q5" s="27">
        <f>student_performance_analysis!N28</f>
        <v>0</v>
      </c>
    </row>
    <row r="6" spans="8:17" x14ac:dyDescent="0.3">
      <c r="M6" s="24" t="s">
        <v>3</v>
      </c>
      <c r="N6" s="28">
        <f>student_performance_analysis!K29</f>
        <v>0.21657189731617008</v>
      </c>
      <c r="O6" s="27">
        <f>student_performance_analysis!L29</f>
        <v>1</v>
      </c>
      <c r="P6" s="27">
        <f>student_performance_analysis!M29</f>
        <v>0</v>
      </c>
      <c r="Q6" s="27">
        <f>student_performance_analysis!N29</f>
        <v>0</v>
      </c>
    </row>
    <row r="7" spans="8:17" x14ac:dyDescent="0.3">
      <c r="M7" s="24" t="s">
        <v>27</v>
      </c>
      <c r="N7" s="27">
        <f>student_performance_analysis!K30</f>
        <v>1</v>
      </c>
      <c r="O7" s="28">
        <f>student_performance_analysis!L30</f>
        <v>0.21657189731616999</v>
      </c>
      <c r="P7" s="27">
        <f>student_performance_analysis!M30</f>
        <v>1</v>
      </c>
      <c r="Q7" s="27">
        <f>student_performance_analysis!N30</f>
        <v>0</v>
      </c>
    </row>
    <row r="8" spans="8:17" ht="13.5" thickBot="1" x14ac:dyDescent="0.35">
      <c r="M8" s="25" t="s">
        <v>56</v>
      </c>
      <c r="N8" s="28">
        <f>student_performance_analysis!K31</f>
        <v>0.19903729886263882</v>
      </c>
      <c r="O8" s="28">
        <f>student_performance_analysis!L31</f>
        <v>0.25423675296826809</v>
      </c>
      <c r="P8" s="28">
        <f>student_performance_analysis!M31</f>
        <v>0.19903729886263882</v>
      </c>
      <c r="Q8" s="27">
        <f>student_performance_analysis!N31</f>
        <v>1</v>
      </c>
    </row>
    <row r="11" spans="8:17" x14ac:dyDescent="0.3">
      <c r="H11" t="s">
        <v>55</v>
      </c>
    </row>
  </sheetData>
  <conditionalFormatting sqref="N4:Q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student_performance_analysis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Blacqmann</dc:creator>
  <cp:lastModifiedBy>oluwaseyi Blacqmann</cp:lastModifiedBy>
  <dcterms:created xsi:type="dcterms:W3CDTF">2026-01-16T19:20:14Z</dcterms:created>
  <dcterms:modified xsi:type="dcterms:W3CDTF">2026-01-21T12:46:19Z</dcterms:modified>
</cp:coreProperties>
</file>